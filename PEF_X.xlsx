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gfinv\OneDrive\Escritorio\9 PEF\"/>
    </mc:Choice>
  </mc:AlternateContent>
  <xr:revisionPtr revIDLastSave="0" documentId="8_{86583BDA-E97A-42C8-A0B3-AF7FBA0B90F9}" xr6:coauthVersionLast="47" xr6:coauthVersionMax="47" xr10:uidLastSave="{00000000-0000-0000-0000-000000000000}"/>
  <bookViews>
    <workbookView xWindow="-108" yWindow="-108" windowWidth="23256" windowHeight="12456" tabRatio="795" xr2:uid="{00000000-000D-0000-FFFF-FFFF00000000}"/>
  </bookViews>
  <sheets>
    <sheet name="CONTROL" sheetId="1" r:id="rId1"/>
    <sheet name="FLUJO" sheetId="2" r:id="rId2"/>
    <sheet name="CAPEX" sheetId="3" r:id="rId3"/>
    <sheet name="AMORTIZACIONES" sheetId="4" r:id="rId4"/>
    <sheet name="INPUTS" sheetId="5" r:id="rId5"/>
    <sheet name="OPEX" sheetId="6" r:id="rId6"/>
    <sheet name="PRESTAMO " sheetId="7" r:id="rId7"/>
    <sheet name="HIPOTESIS" sheetId="8" r:id="rId8"/>
    <sheet name="IMPUESTOS" sheetId="9" r:id="rId9"/>
  </sheets>
  <definedNames>
    <definedName name="_Order1">255</definedName>
    <definedName name="_Order2">255</definedName>
    <definedName name="AccessDatabase">"D:\Nuevos Cursos\Excel\Presupuesto y control presupuestario.mdb"</definedName>
    <definedName name="AMPO5">"Gráfico 8"</definedName>
    <definedName name="cuadro17">{"'ExpoBR'!$B$2:$N$29"}</definedName>
    <definedName name="daniela">{"'TCM IPM Urug'!$A$6:$N$20"}</definedName>
    <definedName name="dw">{"3",#N/A,FALSE,"BASE MONETARIA";"4",#N/A,FALSE,"BASE MONETARIA"}</definedName>
    <definedName name="h">{"3",#N/A,FALSE,"BASE MONETARIA";"4",#N/A,FALSE,"BASE MONETARIA"}</definedName>
    <definedName name="HTML_CodePage">1252</definedName>
    <definedName name="HTML_Control">{"'TCM IPM Urug'!$A$6:$N$20"}</definedName>
    <definedName name="HTML_Description">""</definedName>
    <definedName name="HTML_Email">""</definedName>
    <definedName name="HTML_Header">"TCM IPM Urug"</definedName>
    <definedName name="HTML_LastUpdate">"15/06/2001"</definedName>
    <definedName name="HTML_LineAfter">FALSE()</definedName>
    <definedName name="HTML_LineBefore">FALSE()</definedName>
    <definedName name="HTML_Name">"Iga"</definedName>
    <definedName name="HTML_OBDlg2">TRUE()</definedName>
    <definedName name="HTML_OBDlg4">TRUE()</definedName>
    <definedName name="HTML_OS">0</definedName>
    <definedName name="HTML_PathFile">"C:\Mis documentos\anexos mercosur mayo de 2001\tipo de cambio RM uruguay.htm"</definedName>
    <definedName name="HTML_Title">"anemer2 pdf(7 de junio de 2001)"</definedName>
    <definedName name="solver_adj" localSheetId="0" hidden="1">CONTROL!$C$24</definedName>
    <definedName name="solver_adj" localSheetId="7" hidden="1">HIPOTESIS!$E$15</definedName>
    <definedName name="solver_cvg" localSheetId="0" hidden="1">0.0001</definedName>
    <definedName name="solver_cvg" localSheetId="1" hidden="1">0.0001</definedName>
    <definedName name="solver_cvg" localSheetId="7" hidden="1">0.0001</definedName>
    <definedName name="solver_drv" localSheetId="0" hidden="1">1</definedName>
    <definedName name="solver_drv" localSheetId="1" hidden="1">1</definedName>
    <definedName name="solver_drv" localSheetId="7" hidden="1">1</definedName>
    <definedName name="solver_eng" localSheetId="0" hidden="1">1</definedName>
    <definedName name="solver_eng" localSheetId="1" hidden="1">1</definedName>
    <definedName name="solver_eng" localSheetId="7" hidden="1">1</definedName>
    <definedName name="solver_est" localSheetId="0" hidden="1">1</definedName>
    <definedName name="solver_est" localSheetId="1" hidden="1">1</definedName>
    <definedName name="solver_est" localSheetId="7" hidden="1">1</definedName>
    <definedName name="solver_itr" localSheetId="0" hidden="1">2147483647</definedName>
    <definedName name="solver_itr" localSheetId="1" hidden="1">2147483647</definedName>
    <definedName name="solver_itr" localSheetId="7" hidden="1">2147483647</definedName>
    <definedName name="solver_mip" localSheetId="0" hidden="1">2147483647</definedName>
    <definedName name="solver_mip" localSheetId="1" hidden="1">2147483647</definedName>
    <definedName name="solver_mip" localSheetId="7" hidden="1">2147483647</definedName>
    <definedName name="solver_mni" localSheetId="0" hidden="1">30</definedName>
    <definedName name="solver_mni" localSheetId="1" hidden="1">30</definedName>
    <definedName name="solver_mni" localSheetId="7" hidden="1">30</definedName>
    <definedName name="solver_mrt" localSheetId="0" hidden="1">0.075</definedName>
    <definedName name="solver_mrt" localSheetId="1" hidden="1">0.075</definedName>
    <definedName name="solver_mrt" localSheetId="7" hidden="1">0.075</definedName>
    <definedName name="solver_msl" localSheetId="0" hidden="1">2</definedName>
    <definedName name="solver_msl" localSheetId="1" hidden="1">2</definedName>
    <definedName name="solver_msl" localSheetId="7" hidden="1">2</definedName>
    <definedName name="solver_neg" localSheetId="0" hidden="1">1</definedName>
    <definedName name="solver_neg" localSheetId="1" hidden="1">1</definedName>
    <definedName name="solver_neg" localSheetId="7" hidden="1">1</definedName>
    <definedName name="solver_nod" localSheetId="0" hidden="1">2147483647</definedName>
    <definedName name="solver_nod" localSheetId="1" hidden="1">2147483647</definedName>
    <definedName name="solver_nod" localSheetId="7" hidden="1">2147483647</definedName>
    <definedName name="solver_num" localSheetId="0" hidden="1">0</definedName>
    <definedName name="solver_num" localSheetId="1" hidden="1">0</definedName>
    <definedName name="solver_num" localSheetId="7" hidden="1">0</definedName>
    <definedName name="solver_nwt" localSheetId="0" hidden="1">1</definedName>
    <definedName name="solver_nwt" localSheetId="1" hidden="1">1</definedName>
    <definedName name="solver_nwt" localSheetId="7" hidden="1">1</definedName>
    <definedName name="solver_opt" localSheetId="0" hidden="1">CONTROL!$C$5</definedName>
    <definedName name="solver_opt" localSheetId="1" hidden="1">FLUJO!$W$96</definedName>
    <definedName name="solver_opt" localSheetId="7" hidden="1">HIPOTESIS!$G$36</definedName>
    <definedName name="solver_pre" localSheetId="0" hidden="1">0.000001</definedName>
    <definedName name="solver_pre" localSheetId="1" hidden="1">0.000001</definedName>
    <definedName name="solver_pre" localSheetId="7" hidden="1">0.000001</definedName>
    <definedName name="solver_rbv" localSheetId="0" hidden="1">1</definedName>
    <definedName name="solver_rbv" localSheetId="1" hidden="1">1</definedName>
    <definedName name="solver_rbv" localSheetId="7" hidden="1">1</definedName>
    <definedName name="solver_rlx" localSheetId="0" hidden="1">2</definedName>
    <definedName name="solver_rlx" localSheetId="1" hidden="1">2</definedName>
    <definedName name="solver_rlx" localSheetId="7" hidden="1">2</definedName>
    <definedName name="solver_rsd" localSheetId="0" hidden="1">0</definedName>
    <definedName name="solver_rsd" localSheetId="1" hidden="1">0</definedName>
    <definedName name="solver_rsd" localSheetId="7" hidden="1">0</definedName>
    <definedName name="solver_scl" localSheetId="0" hidden="1">1</definedName>
    <definedName name="solver_scl" localSheetId="1" hidden="1">1</definedName>
    <definedName name="solver_scl" localSheetId="7" hidden="1">1</definedName>
    <definedName name="solver_sho" localSheetId="0" hidden="1">2</definedName>
    <definedName name="solver_sho" localSheetId="1" hidden="1">2</definedName>
    <definedName name="solver_sho" localSheetId="7" hidden="1">2</definedName>
    <definedName name="solver_ssz" localSheetId="0" hidden="1">100</definedName>
    <definedName name="solver_ssz" localSheetId="1" hidden="1">100</definedName>
    <definedName name="solver_ssz" localSheetId="7" hidden="1">100</definedName>
    <definedName name="solver_tim" localSheetId="0" hidden="1">2147483647</definedName>
    <definedName name="solver_tim" localSheetId="1" hidden="1">2147483647</definedName>
    <definedName name="solver_tim" localSheetId="7" hidden="1">2147483647</definedName>
    <definedName name="solver_tol" localSheetId="0" hidden="1">0.01</definedName>
    <definedName name="solver_tol" localSheetId="1" hidden="1">0.01</definedName>
    <definedName name="solver_tol" localSheetId="7" hidden="1">0.01</definedName>
    <definedName name="solver_typ" localSheetId="0" hidden="1">3</definedName>
    <definedName name="solver_typ" localSheetId="1" hidden="1">3</definedName>
    <definedName name="solver_typ" localSheetId="7" hidden="1">3</definedName>
    <definedName name="solver_val" localSheetId="0" hidden="1">0.15</definedName>
    <definedName name="solver_val" localSheetId="1" hidden="1">594013131766.799</definedName>
    <definedName name="solver_val" localSheetId="7" hidden="1">0</definedName>
    <definedName name="solver_ver" localSheetId="0" hidden="1">3</definedName>
    <definedName name="solver_ver" localSheetId="1" hidden="1">3</definedName>
    <definedName name="solver_ver" localSheetId="7" hidden="1">3</definedName>
    <definedName name="wrn.BMA.">{"3",#N/A,FALSE,"BASE MONETARIA";"4",#N/A,FALSE,"BASE MONETARIA"}</definedName>
    <definedName name="wrn.PASMON.">{"1",#N/A,FALSE,"Pasivos Mon";"2",#N/A,FALSE,"Pasivos Mon"}</definedName>
    <definedName name="x">{"'ExpoBR'!$B$2:$N$29"}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52" i="9" l="1"/>
  <c r="AA30" i="9"/>
  <c r="AA29" i="9"/>
  <c r="AA27" i="9"/>
  <c r="AA26" i="9"/>
  <c r="AA25" i="9"/>
  <c r="AA24" i="9"/>
  <c r="AA23" i="9"/>
  <c r="AA22" i="9"/>
  <c r="AA21" i="9"/>
  <c r="AA20" i="9"/>
  <c r="AA19" i="9"/>
  <c r="AA17" i="9"/>
  <c r="AA16" i="9"/>
  <c r="AA15" i="9"/>
  <c r="H12" i="9"/>
  <c r="G12" i="9"/>
  <c r="F12" i="9"/>
  <c r="E12" i="9"/>
  <c r="D12" i="9"/>
  <c r="H11" i="9"/>
  <c r="G11" i="9"/>
  <c r="F11" i="9"/>
  <c r="E11" i="9"/>
  <c r="D11" i="9"/>
  <c r="W10" i="9"/>
  <c r="V10" i="9"/>
  <c r="U10" i="9"/>
  <c r="T10" i="9"/>
  <c r="S10" i="9"/>
  <c r="R10" i="9"/>
  <c r="Q10" i="9"/>
  <c r="P10" i="9"/>
  <c r="O10" i="9"/>
  <c r="N10" i="9"/>
  <c r="M10" i="9"/>
  <c r="L10" i="9"/>
  <c r="K10" i="9"/>
  <c r="J10" i="9"/>
  <c r="I10" i="9"/>
  <c r="H10" i="9"/>
  <c r="G10" i="9"/>
  <c r="F10" i="9"/>
  <c r="E10" i="9"/>
  <c r="B3" i="9"/>
  <c r="B2" i="9"/>
  <c r="V33" i="8"/>
  <c r="U33" i="8"/>
  <c r="T33" i="8"/>
  <c r="S33" i="8"/>
  <c r="R33" i="8"/>
  <c r="Q33" i="8"/>
  <c r="P33" i="8"/>
  <c r="O33" i="8"/>
  <c r="N33" i="8"/>
  <c r="M33" i="8"/>
  <c r="L33" i="8"/>
  <c r="K33" i="8"/>
  <c r="J33" i="8"/>
  <c r="I33" i="8"/>
  <c r="H33" i="8"/>
  <c r="G33" i="8"/>
  <c r="F33" i="8"/>
  <c r="E33" i="8"/>
  <c r="D33" i="8"/>
  <c r="V32" i="8"/>
  <c r="U32" i="8"/>
  <c r="T32" i="8"/>
  <c r="S32" i="8"/>
  <c r="R32" i="8"/>
  <c r="Q32" i="8"/>
  <c r="P32" i="8"/>
  <c r="O32" i="8"/>
  <c r="N32" i="8"/>
  <c r="M32" i="8"/>
  <c r="L32" i="8"/>
  <c r="K32" i="8"/>
  <c r="J32" i="8"/>
  <c r="I32" i="8"/>
  <c r="H32" i="8"/>
  <c r="G32" i="8"/>
  <c r="F32" i="8"/>
  <c r="E32" i="8"/>
  <c r="D32" i="8"/>
  <c r="G31" i="8"/>
  <c r="G94" i="2" s="1"/>
  <c r="F31" i="8"/>
  <c r="F94" i="2" s="1"/>
  <c r="E31" i="8"/>
  <c r="E94" i="2" s="1"/>
  <c r="D31" i="8"/>
  <c r="D94" i="2" s="1"/>
  <c r="C25" i="8"/>
  <c r="C26" i="8" s="1"/>
  <c r="C27" i="8" s="1"/>
  <c r="G24" i="8"/>
  <c r="G25" i="8" s="1"/>
  <c r="G26" i="8" s="1"/>
  <c r="G27" i="8" s="1"/>
  <c r="G28" i="8" s="1"/>
  <c r="F24" i="8"/>
  <c r="F25" i="8" s="1"/>
  <c r="F26" i="8" s="1"/>
  <c r="F27" i="8" s="1"/>
  <c r="F28" i="8" s="1"/>
  <c r="E24" i="8"/>
  <c r="E25" i="8" s="1"/>
  <c r="E26" i="8" s="1"/>
  <c r="E27" i="8" s="1"/>
  <c r="E28" i="8" s="1"/>
  <c r="D24" i="8"/>
  <c r="D25" i="8" s="1"/>
  <c r="D26" i="8" s="1"/>
  <c r="D27" i="8" s="1"/>
  <c r="D28" i="8" s="1"/>
  <c r="C19" i="8"/>
  <c r="C20" i="8" s="1"/>
  <c r="V18" i="8"/>
  <c r="V19" i="8" s="1"/>
  <c r="V20" i="8" s="1"/>
  <c r="U18" i="8"/>
  <c r="U19" i="8" s="1"/>
  <c r="U20" i="8" s="1"/>
  <c r="T18" i="8"/>
  <c r="T19" i="8" s="1"/>
  <c r="T20" i="8" s="1"/>
  <c r="S18" i="8"/>
  <c r="S19" i="8" s="1"/>
  <c r="S20" i="8" s="1"/>
  <c r="R18" i="8"/>
  <c r="R19" i="8" s="1"/>
  <c r="R20" i="8" s="1"/>
  <c r="Q18" i="8"/>
  <c r="Q19" i="8" s="1"/>
  <c r="Q20" i="8" s="1"/>
  <c r="P18" i="8"/>
  <c r="P19" i="8" s="1"/>
  <c r="P20" i="8" s="1"/>
  <c r="O18" i="8"/>
  <c r="O19" i="8" s="1"/>
  <c r="O20" i="8" s="1"/>
  <c r="N18" i="8"/>
  <c r="N19" i="8" s="1"/>
  <c r="N20" i="8" s="1"/>
  <c r="M18" i="8"/>
  <c r="M19" i="8" s="1"/>
  <c r="M20" i="8" s="1"/>
  <c r="L18" i="8"/>
  <c r="L19" i="8" s="1"/>
  <c r="L20" i="8" s="1"/>
  <c r="K18" i="8"/>
  <c r="K19" i="8" s="1"/>
  <c r="K20" i="8" s="1"/>
  <c r="J18" i="8"/>
  <c r="J19" i="8" s="1"/>
  <c r="J20" i="8" s="1"/>
  <c r="I18" i="8"/>
  <c r="I19" i="8" s="1"/>
  <c r="I20" i="8" s="1"/>
  <c r="H18" i="8"/>
  <c r="G18" i="8"/>
  <c r="F18" i="8"/>
  <c r="E18" i="8"/>
  <c r="D18" i="8"/>
  <c r="H13" i="8"/>
  <c r="I12" i="3" s="1"/>
  <c r="H12" i="8"/>
  <c r="I11" i="3" s="1"/>
  <c r="C11" i="8"/>
  <c r="D10" i="3" s="1"/>
  <c r="V7" i="8"/>
  <c r="U7" i="8"/>
  <c r="T7" i="8"/>
  <c r="S7" i="8"/>
  <c r="R7" i="8"/>
  <c r="Q7" i="8"/>
  <c r="P7" i="8"/>
  <c r="O7" i="8"/>
  <c r="N7" i="8"/>
  <c r="M7" i="8"/>
  <c r="L7" i="8"/>
  <c r="K7" i="8"/>
  <c r="J7" i="8"/>
  <c r="I7" i="8"/>
  <c r="H7" i="8"/>
  <c r="G7" i="8"/>
  <c r="F7" i="8"/>
  <c r="E7" i="8"/>
  <c r="D7" i="8"/>
  <c r="C7" i="8"/>
  <c r="B4" i="8"/>
  <c r="D8" i="7"/>
  <c r="D4" i="7"/>
  <c r="D3" i="7"/>
  <c r="D6" i="7" s="1"/>
  <c r="C17" i="6"/>
  <c r="E17" i="6" s="1"/>
  <c r="F17" i="6" s="1"/>
  <c r="G17" i="6" s="1"/>
  <c r="H17" i="6" s="1"/>
  <c r="I17" i="6" s="1"/>
  <c r="J17" i="6" s="1"/>
  <c r="K17" i="6" s="1"/>
  <c r="L17" i="6" s="1"/>
  <c r="M17" i="6" s="1"/>
  <c r="N17" i="6" s="1"/>
  <c r="O17" i="6" s="1"/>
  <c r="P17" i="6" s="1"/>
  <c r="Q17" i="6" s="1"/>
  <c r="R17" i="6" s="1"/>
  <c r="S17" i="6" s="1"/>
  <c r="T17" i="6" s="1"/>
  <c r="U17" i="6" s="1"/>
  <c r="V17" i="6" s="1"/>
  <c r="W17" i="6" s="1"/>
  <c r="X17" i="6" s="1"/>
  <c r="C16" i="6"/>
  <c r="E16" i="6" s="1"/>
  <c r="F16" i="6" s="1"/>
  <c r="G16" i="6" s="1"/>
  <c r="H16" i="6" s="1"/>
  <c r="I16" i="6" s="1"/>
  <c r="J16" i="6" s="1"/>
  <c r="K16" i="6" s="1"/>
  <c r="L16" i="6" s="1"/>
  <c r="M16" i="6" s="1"/>
  <c r="N16" i="6" s="1"/>
  <c r="O16" i="6" s="1"/>
  <c r="P16" i="6" s="1"/>
  <c r="Q16" i="6" s="1"/>
  <c r="R16" i="6" s="1"/>
  <c r="S16" i="6" s="1"/>
  <c r="T16" i="6" s="1"/>
  <c r="U16" i="6" s="1"/>
  <c r="V16" i="6" s="1"/>
  <c r="W16" i="6" s="1"/>
  <c r="X16" i="6" s="1"/>
  <c r="C15" i="6"/>
  <c r="E15" i="6" s="1"/>
  <c r="F15" i="6" s="1"/>
  <c r="G15" i="6" s="1"/>
  <c r="H15" i="6" s="1"/>
  <c r="I15" i="6" s="1"/>
  <c r="J15" i="6" s="1"/>
  <c r="K15" i="6" s="1"/>
  <c r="L15" i="6" s="1"/>
  <c r="M15" i="6" s="1"/>
  <c r="N15" i="6" s="1"/>
  <c r="O15" i="6" s="1"/>
  <c r="P15" i="6" s="1"/>
  <c r="Q15" i="6" s="1"/>
  <c r="R15" i="6" s="1"/>
  <c r="S15" i="6" s="1"/>
  <c r="T15" i="6" s="1"/>
  <c r="U15" i="6" s="1"/>
  <c r="V15" i="6" s="1"/>
  <c r="W15" i="6" s="1"/>
  <c r="X15" i="6" s="1"/>
  <c r="C14" i="6"/>
  <c r="E14" i="6" s="1"/>
  <c r="F14" i="6" s="1"/>
  <c r="G14" i="6" s="1"/>
  <c r="H14" i="6" s="1"/>
  <c r="I14" i="6" s="1"/>
  <c r="J14" i="6" s="1"/>
  <c r="K14" i="6" s="1"/>
  <c r="L14" i="6" s="1"/>
  <c r="M14" i="6" s="1"/>
  <c r="N14" i="6" s="1"/>
  <c r="O14" i="6" s="1"/>
  <c r="P14" i="6" s="1"/>
  <c r="Q14" i="6" s="1"/>
  <c r="R14" i="6" s="1"/>
  <c r="S14" i="6" s="1"/>
  <c r="T14" i="6" s="1"/>
  <c r="U14" i="6" s="1"/>
  <c r="V14" i="6" s="1"/>
  <c r="W14" i="6" s="1"/>
  <c r="X14" i="6" s="1"/>
  <c r="I12" i="6"/>
  <c r="H12" i="6"/>
  <c r="G12" i="6"/>
  <c r="F12" i="6"/>
  <c r="E12" i="6"/>
  <c r="I11" i="6"/>
  <c r="H11" i="6"/>
  <c r="G11" i="6"/>
  <c r="F11" i="6"/>
  <c r="E11" i="6"/>
  <c r="X10" i="6"/>
  <c r="W10" i="6"/>
  <c r="V10" i="6"/>
  <c r="U10" i="6"/>
  <c r="T10" i="6"/>
  <c r="S10" i="6"/>
  <c r="R10" i="6"/>
  <c r="Q10" i="6"/>
  <c r="P10" i="6"/>
  <c r="O10" i="6"/>
  <c r="N10" i="6"/>
  <c r="M10" i="6"/>
  <c r="L10" i="6"/>
  <c r="K10" i="6"/>
  <c r="J10" i="6"/>
  <c r="I10" i="6"/>
  <c r="H10" i="6"/>
  <c r="G10" i="6"/>
  <c r="F10" i="6"/>
  <c r="B3" i="6"/>
  <c r="B2" i="6"/>
  <c r="U28" i="5"/>
  <c r="T28" i="5"/>
  <c r="S28" i="5"/>
  <c r="R28" i="5"/>
  <c r="Q28" i="5"/>
  <c r="P28" i="5"/>
  <c r="O28" i="5"/>
  <c r="R21" i="6" s="1"/>
  <c r="N28" i="5"/>
  <c r="Q21" i="6" s="1"/>
  <c r="M28" i="5"/>
  <c r="P21" i="6" s="1"/>
  <c r="L28" i="5"/>
  <c r="O21" i="6" s="1"/>
  <c r="K28" i="5"/>
  <c r="N21" i="6" s="1"/>
  <c r="J28" i="5"/>
  <c r="M21" i="6" s="1"/>
  <c r="I28" i="5"/>
  <c r="L21" i="6" s="1"/>
  <c r="H28" i="5"/>
  <c r="K21" i="6" s="1"/>
  <c r="G28" i="5"/>
  <c r="J21" i="6" s="1"/>
  <c r="F28" i="5"/>
  <c r="I21" i="6" s="1"/>
  <c r="G82" i="2" s="1"/>
  <c r="G27" i="2" s="1"/>
  <c r="E28" i="5"/>
  <c r="H21" i="6" s="1"/>
  <c r="F82" i="2" s="1"/>
  <c r="F27" i="2" s="1"/>
  <c r="D28" i="5"/>
  <c r="G21" i="6" s="1"/>
  <c r="E82" i="2" s="1"/>
  <c r="E27" i="2" s="1"/>
  <c r="C28" i="5"/>
  <c r="F21" i="6" s="1"/>
  <c r="D82" i="2" s="1"/>
  <c r="D27" i="2" s="1"/>
  <c r="B28" i="5"/>
  <c r="U24" i="5"/>
  <c r="X20" i="6" s="1"/>
  <c r="T24" i="5"/>
  <c r="W20" i="6" s="1"/>
  <c r="S24" i="5"/>
  <c r="V20" i="6" s="1"/>
  <c r="R24" i="5"/>
  <c r="U20" i="6" s="1"/>
  <c r="Q24" i="5"/>
  <c r="T20" i="6" s="1"/>
  <c r="P24" i="5"/>
  <c r="S20" i="6" s="1"/>
  <c r="O24" i="5"/>
  <c r="R20" i="6" s="1"/>
  <c r="N24" i="5"/>
  <c r="Q20" i="6" s="1"/>
  <c r="M24" i="5"/>
  <c r="P20" i="6" s="1"/>
  <c r="L24" i="5"/>
  <c r="O20" i="6" s="1"/>
  <c r="K24" i="5"/>
  <c r="N20" i="6" s="1"/>
  <c r="J24" i="5"/>
  <c r="M20" i="6" s="1"/>
  <c r="I24" i="5"/>
  <c r="L20" i="6" s="1"/>
  <c r="H24" i="5"/>
  <c r="K20" i="6" s="1"/>
  <c r="G24" i="5"/>
  <c r="J20" i="6" s="1"/>
  <c r="F24" i="5"/>
  <c r="I20" i="6" s="1"/>
  <c r="G81" i="2" s="1"/>
  <c r="G26" i="2" s="1"/>
  <c r="E24" i="5"/>
  <c r="H20" i="6" s="1"/>
  <c r="F81" i="2" s="1"/>
  <c r="F26" i="2" s="1"/>
  <c r="D24" i="5"/>
  <c r="G20" i="6" s="1"/>
  <c r="E81" i="2" s="1"/>
  <c r="E26" i="2" s="1"/>
  <c r="C24" i="5"/>
  <c r="F20" i="6" s="1"/>
  <c r="D81" i="2" s="1"/>
  <c r="D26" i="2" s="1"/>
  <c r="B24" i="5"/>
  <c r="U20" i="5"/>
  <c r="X19" i="6" s="1"/>
  <c r="T20" i="5"/>
  <c r="W19" i="6" s="1"/>
  <c r="S20" i="5"/>
  <c r="V19" i="6" s="1"/>
  <c r="R20" i="5"/>
  <c r="U19" i="6" s="1"/>
  <c r="Q20" i="5"/>
  <c r="T19" i="6" s="1"/>
  <c r="P20" i="5"/>
  <c r="S19" i="6" s="1"/>
  <c r="O20" i="5"/>
  <c r="R19" i="6" s="1"/>
  <c r="N20" i="5"/>
  <c r="Q19" i="6" s="1"/>
  <c r="M20" i="5"/>
  <c r="P19" i="6" s="1"/>
  <c r="L20" i="5"/>
  <c r="O19" i="6" s="1"/>
  <c r="K20" i="5"/>
  <c r="N19" i="6" s="1"/>
  <c r="J20" i="5"/>
  <c r="M19" i="6" s="1"/>
  <c r="I20" i="5"/>
  <c r="L19" i="6" s="1"/>
  <c r="H20" i="5"/>
  <c r="K19" i="6" s="1"/>
  <c r="G20" i="5"/>
  <c r="J19" i="6" s="1"/>
  <c r="F20" i="5"/>
  <c r="I19" i="6" s="1"/>
  <c r="E20" i="5"/>
  <c r="H19" i="6" s="1"/>
  <c r="D20" i="5"/>
  <c r="G19" i="6" s="1"/>
  <c r="C20" i="5"/>
  <c r="F19" i="6" s="1"/>
  <c r="B20" i="5"/>
  <c r="U16" i="5"/>
  <c r="T16" i="5"/>
  <c r="S16" i="5"/>
  <c r="R16" i="5"/>
  <c r="Q16" i="5"/>
  <c r="P16" i="5"/>
  <c r="O16" i="5"/>
  <c r="N16" i="5"/>
  <c r="M16" i="5"/>
  <c r="L16" i="5"/>
  <c r="K16" i="5"/>
  <c r="J16" i="5"/>
  <c r="I16" i="5"/>
  <c r="H16" i="5"/>
  <c r="G16" i="5"/>
  <c r="F16" i="5"/>
  <c r="E16" i="5"/>
  <c r="D16" i="5"/>
  <c r="C16" i="5"/>
  <c r="B16" i="5"/>
  <c r="U11" i="5"/>
  <c r="T11" i="5"/>
  <c r="S11" i="5"/>
  <c r="R11" i="5"/>
  <c r="Q11" i="5"/>
  <c r="P11" i="5"/>
  <c r="O11" i="5"/>
  <c r="N11" i="5"/>
  <c r="M11" i="5"/>
  <c r="L11" i="5"/>
  <c r="K11" i="5"/>
  <c r="J11" i="5"/>
  <c r="I11" i="5"/>
  <c r="H11" i="5"/>
  <c r="G11" i="5"/>
  <c r="F11" i="5"/>
  <c r="E11" i="5"/>
  <c r="D11" i="5"/>
  <c r="C11" i="5"/>
  <c r="B11" i="5"/>
  <c r="U7" i="5"/>
  <c r="U12" i="5" s="1"/>
  <c r="T7" i="5"/>
  <c r="S7" i="5"/>
  <c r="R7" i="5"/>
  <c r="Q7" i="5"/>
  <c r="P7" i="5"/>
  <c r="O7" i="5"/>
  <c r="N7" i="5"/>
  <c r="M7" i="5"/>
  <c r="L7" i="5"/>
  <c r="K7" i="5"/>
  <c r="J7" i="5"/>
  <c r="I7" i="5"/>
  <c r="H7" i="5"/>
  <c r="G7" i="5"/>
  <c r="F7" i="5"/>
  <c r="E7" i="5"/>
  <c r="D7" i="5"/>
  <c r="C7" i="5"/>
  <c r="B7" i="5"/>
  <c r="W122" i="4"/>
  <c r="V122" i="4"/>
  <c r="U122" i="4"/>
  <c r="T122" i="4"/>
  <c r="S122" i="4"/>
  <c r="R122" i="4"/>
  <c r="Q122" i="4"/>
  <c r="P122" i="4"/>
  <c r="O122" i="4"/>
  <c r="N122" i="4"/>
  <c r="M122" i="4"/>
  <c r="L122" i="4"/>
  <c r="K122" i="4"/>
  <c r="J122" i="4"/>
  <c r="I122" i="4"/>
  <c r="H122" i="4"/>
  <c r="G122" i="4"/>
  <c r="F122" i="4"/>
  <c r="E122" i="4"/>
  <c r="D122" i="4"/>
  <c r="W109" i="4"/>
  <c r="V109" i="4"/>
  <c r="U109" i="4"/>
  <c r="T109" i="4"/>
  <c r="S109" i="4"/>
  <c r="R109" i="4"/>
  <c r="Q109" i="4"/>
  <c r="P109" i="4"/>
  <c r="O109" i="4"/>
  <c r="N109" i="4"/>
  <c r="M109" i="4"/>
  <c r="L109" i="4"/>
  <c r="K109" i="4"/>
  <c r="J109" i="4"/>
  <c r="I109" i="4"/>
  <c r="H109" i="4"/>
  <c r="G109" i="4"/>
  <c r="F109" i="4"/>
  <c r="E109" i="4"/>
  <c r="D109" i="4"/>
  <c r="C15" i="3"/>
  <c r="D15" i="3" s="1"/>
  <c r="C14" i="3"/>
  <c r="D14" i="3" s="1"/>
  <c r="E14" i="3" s="1"/>
  <c r="F14" i="3" s="1"/>
  <c r="G14" i="3" s="1"/>
  <c r="H14" i="3" s="1"/>
  <c r="I14" i="3" s="1"/>
  <c r="J14" i="3" s="1"/>
  <c r="H12" i="3"/>
  <c r="G12" i="3"/>
  <c r="F12" i="3"/>
  <c r="E12" i="3"/>
  <c r="D12" i="3"/>
  <c r="H11" i="3"/>
  <c r="G11" i="3"/>
  <c r="F11" i="3"/>
  <c r="E11" i="3"/>
  <c r="D11" i="3"/>
  <c r="W10" i="3"/>
  <c r="V10" i="3"/>
  <c r="U10" i="3"/>
  <c r="T10" i="3"/>
  <c r="S10" i="3"/>
  <c r="R10" i="3"/>
  <c r="Q10" i="3"/>
  <c r="P10" i="3"/>
  <c r="O10" i="3"/>
  <c r="N10" i="3"/>
  <c r="M10" i="3"/>
  <c r="L10" i="3"/>
  <c r="K10" i="3"/>
  <c r="J10" i="3"/>
  <c r="I10" i="3"/>
  <c r="H10" i="3"/>
  <c r="G10" i="3"/>
  <c r="F10" i="3"/>
  <c r="E10" i="3"/>
  <c r="B3" i="3"/>
  <c r="B2" i="3"/>
  <c r="B3" i="8" s="1"/>
  <c r="C118" i="2"/>
  <c r="C117" i="2"/>
  <c r="C115" i="2"/>
  <c r="C114" i="2"/>
  <c r="C113" i="2"/>
  <c r="C112" i="2"/>
  <c r="B109" i="2"/>
  <c r="C95" i="2"/>
  <c r="V89" i="2"/>
  <c r="U89" i="2"/>
  <c r="T89" i="2"/>
  <c r="S89" i="2"/>
  <c r="R89" i="2"/>
  <c r="Q89" i="2"/>
  <c r="P89" i="2"/>
  <c r="O89" i="2"/>
  <c r="N89" i="2"/>
  <c r="M89" i="2"/>
  <c r="L89" i="2"/>
  <c r="K89" i="2"/>
  <c r="J89" i="2"/>
  <c r="I89" i="2"/>
  <c r="H89" i="2"/>
  <c r="C84" i="2"/>
  <c r="D70" i="2"/>
  <c r="E70" i="2" s="1"/>
  <c r="F70" i="2" s="1"/>
  <c r="G70" i="2" s="1"/>
  <c r="H70" i="2" s="1"/>
  <c r="I70" i="2" s="1"/>
  <c r="J70" i="2" s="1"/>
  <c r="K70" i="2" s="1"/>
  <c r="L70" i="2" s="1"/>
  <c r="M70" i="2" s="1"/>
  <c r="N70" i="2" s="1"/>
  <c r="O70" i="2" s="1"/>
  <c r="P70" i="2" s="1"/>
  <c r="Q70" i="2" s="1"/>
  <c r="R70" i="2" s="1"/>
  <c r="S70" i="2" s="1"/>
  <c r="T70" i="2" s="1"/>
  <c r="U70" i="2" s="1"/>
  <c r="V70" i="2" s="1"/>
  <c r="B52" i="2"/>
  <c r="V21" i="2"/>
  <c r="U21" i="2"/>
  <c r="T21" i="2"/>
  <c r="S21" i="2"/>
  <c r="R21" i="2"/>
  <c r="Q21" i="2"/>
  <c r="P21" i="2"/>
  <c r="O21" i="2"/>
  <c r="N21" i="2"/>
  <c r="M21" i="2"/>
  <c r="L21" i="2"/>
  <c r="K21" i="2"/>
  <c r="J21" i="2"/>
  <c r="I21" i="2"/>
  <c r="H21" i="2"/>
  <c r="G21" i="2"/>
  <c r="F21" i="2"/>
  <c r="E21" i="2"/>
  <c r="D21" i="2"/>
  <c r="C20" i="2"/>
  <c r="C19" i="2"/>
  <c r="C18" i="2"/>
  <c r="D16" i="2"/>
  <c r="H14" i="2"/>
  <c r="G14" i="2"/>
  <c r="F14" i="2"/>
  <c r="E14" i="2"/>
  <c r="D14" i="2"/>
  <c r="C14" i="2"/>
  <c r="H13" i="2"/>
  <c r="G13" i="2"/>
  <c r="F13" i="2"/>
  <c r="E13" i="2"/>
  <c r="D13" i="2"/>
  <c r="C13" i="2"/>
  <c r="V12" i="2"/>
  <c r="U12" i="2"/>
  <c r="T12" i="2"/>
  <c r="S12" i="2"/>
  <c r="R12" i="2"/>
  <c r="Q12" i="2"/>
  <c r="P12" i="2"/>
  <c r="O12" i="2"/>
  <c r="N12" i="2"/>
  <c r="M12" i="2"/>
  <c r="L12" i="2"/>
  <c r="K12" i="2"/>
  <c r="J12" i="2"/>
  <c r="I12" i="2"/>
  <c r="H12" i="2"/>
  <c r="G12" i="2"/>
  <c r="F12" i="2"/>
  <c r="E12" i="2"/>
  <c r="D12" i="2"/>
  <c r="C12" i="2"/>
  <c r="C5" i="2"/>
  <c r="E3" i="6" s="1"/>
  <c r="B5" i="2"/>
  <c r="V4" i="2"/>
  <c r="X2" i="6" s="1"/>
  <c r="U4" i="2"/>
  <c r="W2" i="6" s="1"/>
  <c r="T4" i="2"/>
  <c r="V2" i="6" s="1"/>
  <c r="S4" i="2"/>
  <c r="U2" i="6" s="1"/>
  <c r="R4" i="2"/>
  <c r="T2" i="6" s="1"/>
  <c r="Q4" i="2"/>
  <c r="S2" i="6" s="1"/>
  <c r="P4" i="2"/>
  <c r="R2" i="6" s="1"/>
  <c r="O4" i="2"/>
  <c r="Q2" i="6" s="1"/>
  <c r="N4" i="2"/>
  <c r="P2" i="6" s="1"/>
  <c r="M4" i="2"/>
  <c r="O2" i="6" s="1"/>
  <c r="L4" i="2"/>
  <c r="N2" i="6" s="1"/>
  <c r="K4" i="2"/>
  <c r="M2" i="6" s="1"/>
  <c r="J4" i="2"/>
  <c r="L2" i="6" s="1"/>
  <c r="I4" i="2"/>
  <c r="K2" i="6" s="1"/>
  <c r="H4" i="2"/>
  <c r="J2" i="6" s="1"/>
  <c r="G4" i="2"/>
  <c r="I2" i="6" s="1"/>
  <c r="F4" i="2"/>
  <c r="H2" i="6" s="1"/>
  <c r="E4" i="2"/>
  <c r="G2" i="6" s="1"/>
  <c r="D4" i="2"/>
  <c r="F2" i="6" s="1"/>
  <c r="C4" i="2"/>
  <c r="E2" i="6" s="1"/>
  <c r="F45" i="1"/>
  <c r="F44" i="1"/>
  <c r="C16" i="1"/>
  <c r="O14" i="1"/>
  <c r="O13" i="1"/>
  <c r="S12" i="5" l="1"/>
  <c r="R12" i="5"/>
  <c r="Q12" i="5"/>
  <c r="P12" i="5"/>
  <c r="O12" i="5"/>
  <c r="N12" i="5"/>
  <c r="M12" i="5"/>
  <c r="L12" i="5"/>
  <c r="K12" i="5"/>
  <c r="J12" i="5"/>
  <c r="I12" i="5"/>
  <c r="H12" i="5"/>
  <c r="U72" i="4"/>
  <c r="R72" i="4"/>
  <c r="N72" i="4"/>
  <c r="L72" i="4"/>
  <c r="I72" i="4"/>
  <c r="F72" i="4"/>
  <c r="W59" i="4"/>
  <c r="T59" i="4"/>
  <c r="R59" i="4"/>
  <c r="P59" i="4"/>
  <c r="M59" i="4"/>
  <c r="J59" i="4"/>
  <c r="H59" i="4"/>
  <c r="E59" i="4"/>
  <c r="V22" i="4"/>
  <c r="S22" i="4"/>
  <c r="P22" i="4"/>
  <c r="M22" i="4"/>
  <c r="J22" i="4"/>
  <c r="H22" i="4"/>
  <c r="E22" i="4"/>
  <c r="V9" i="4"/>
  <c r="S9" i="4"/>
  <c r="P9" i="4"/>
  <c r="N9" i="4"/>
  <c r="K9" i="4"/>
  <c r="W72" i="4"/>
  <c r="T72" i="4"/>
  <c r="Q72" i="4"/>
  <c r="P72" i="4"/>
  <c r="M72" i="4"/>
  <c r="J72" i="4"/>
  <c r="G72" i="4"/>
  <c r="E72" i="4"/>
  <c r="V59" i="4"/>
  <c r="Q59" i="4"/>
  <c r="N59" i="4"/>
  <c r="K59" i="4"/>
  <c r="G59" i="4"/>
  <c r="D59" i="4"/>
  <c r="U22" i="4"/>
  <c r="R22" i="4"/>
  <c r="O22" i="4"/>
  <c r="L22" i="4"/>
  <c r="I22" i="4"/>
  <c r="F22" i="4"/>
  <c r="W9" i="4"/>
  <c r="T9" i="4"/>
  <c r="Q9" i="4"/>
  <c r="M9" i="4"/>
  <c r="J9" i="4"/>
  <c r="V72" i="4"/>
  <c r="S72" i="4"/>
  <c r="O72" i="4"/>
  <c r="K72" i="4"/>
  <c r="H72" i="4"/>
  <c r="D72" i="4"/>
  <c r="U59" i="4"/>
  <c r="S59" i="4"/>
  <c r="O59" i="4"/>
  <c r="L59" i="4"/>
  <c r="I59" i="4"/>
  <c r="F59" i="4"/>
  <c r="W22" i="4"/>
  <c r="T22" i="4"/>
  <c r="Q22" i="4"/>
  <c r="N22" i="4"/>
  <c r="K22" i="4"/>
  <c r="G22" i="4"/>
  <c r="D22" i="4"/>
  <c r="U9" i="4"/>
  <c r="R9" i="4"/>
  <c r="O9" i="4"/>
  <c r="L9" i="4"/>
  <c r="V11" i="5"/>
  <c r="T12" i="5"/>
  <c r="I13" i="8"/>
  <c r="I12" i="9"/>
  <c r="H31" i="8"/>
  <c r="H94" i="2" s="1"/>
  <c r="J12" i="6"/>
  <c r="I12" i="8"/>
  <c r="I11" i="9"/>
  <c r="H24" i="8"/>
  <c r="J11" i="6"/>
  <c r="D10" i="9"/>
  <c r="E10" i="6"/>
  <c r="F9" i="4"/>
  <c r="E9" i="4"/>
  <c r="D9" i="4"/>
  <c r="I9" i="4"/>
  <c r="H9" i="4"/>
  <c r="G9" i="4"/>
  <c r="D22" i="9"/>
  <c r="D35" i="9"/>
  <c r="D46" i="9"/>
  <c r="D16" i="9"/>
  <c r="H36" i="2"/>
  <c r="G36" i="2"/>
  <c r="F36" i="2"/>
  <c r="E36" i="2"/>
  <c r="D36" i="2"/>
  <c r="J13" i="8"/>
  <c r="I31" i="8"/>
  <c r="I94" i="2" s="1"/>
  <c r="J12" i="9"/>
  <c r="I14" i="2"/>
  <c r="J12" i="3"/>
  <c r="K12" i="6"/>
  <c r="J12" i="8"/>
  <c r="I24" i="8"/>
  <c r="J11" i="9"/>
  <c r="I13" i="2"/>
  <c r="J11" i="3"/>
  <c r="K11" i="6"/>
  <c r="U60" i="9"/>
  <c r="T60" i="9"/>
  <c r="S60" i="9"/>
  <c r="R60" i="9"/>
  <c r="Q60" i="9"/>
  <c r="C13" i="7"/>
  <c r="M60" i="9"/>
  <c r="W60" i="9"/>
  <c r="K60" i="9"/>
  <c r="L60" i="9"/>
  <c r="V60" i="9"/>
  <c r="N60" i="9"/>
  <c r="O60" i="9"/>
  <c r="P60" i="9"/>
  <c r="V28" i="5"/>
  <c r="E21" i="6"/>
  <c r="E20" i="6"/>
  <c r="V24" i="5"/>
  <c r="G80" i="2"/>
  <c r="F80" i="2"/>
  <c r="E80" i="2"/>
  <c r="D80" i="2"/>
  <c r="E19" i="6"/>
  <c r="V20" i="5"/>
  <c r="U29" i="5"/>
  <c r="X22" i="6"/>
  <c r="T29" i="5"/>
  <c r="W22" i="6"/>
  <c r="V22" i="6"/>
  <c r="S29" i="5"/>
  <c r="R29" i="5"/>
  <c r="U22" i="6"/>
  <c r="Q29" i="5"/>
  <c r="T22" i="6"/>
  <c r="P29" i="5"/>
  <c r="S22" i="6"/>
  <c r="O29" i="5"/>
  <c r="R22" i="6"/>
  <c r="R23" i="6" s="1"/>
  <c r="N29" i="5"/>
  <c r="Q22" i="6"/>
  <c r="Q23" i="6" s="1"/>
  <c r="M29" i="5"/>
  <c r="P22" i="6"/>
  <c r="P23" i="6" s="1"/>
  <c r="O22" i="6"/>
  <c r="O23" i="6" s="1"/>
  <c r="L29" i="5"/>
  <c r="N22" i="6"/>
  <c r="N23" i="6" s="1"/>
  <c r="K29" i="5"/>
  <c r="J29" i="5"/>
  <c r="M22" i="6"/>
  <c r="M23" i="6" s="1"/>
  <c r="L22" i="6"/>
  <c r="L23" i="6" s="1"/>
  <c r="I29" i="5"/>
  <c r="K22" i="6"/>
  <c r="K23" i="6" s="1"/>
  <c r="H29" i="5"/>
  <c r="J22" i="6"/>
  <c r="J23" i="6" s="1"/>
  <c r="G29" i="5"/>
  <c r="F29" i="5"/>
  <c r="I22" i="6"/>
  <c r="E29" i="5"/>
  <c r="H22" i="6"/>
  <c r="D29" i="5"/>
  <c r="G22" i="6"/>
  <c r="F22" i="6"/>
  <c r="C29" i="5"/>
  <c r="V16" i="5"/>
  <c r="E22" i="6"/>
  <c r="B29" i="5"/>
  <c r="I18" i="3"/>
  <c r="G12" i="5"/>
  <c r="F12" i="5"/>
  <c r="H18" i="3"/>
  <c r="G18" i="3"/>
  <c r="E12" i="5"/>
  <c r="F18" i="3"/>
  <c r="D12" i="5"/>
  <c r="C12" i="5"/>
  <c r="E18" i="3"/>
  <c r="D17" i="3"/>
  <c r="V7" i="5"/>
  <c r="B12" i="5"/>
  <c r="E15" i="3"/>
  <c r="D19" i="3"/>
  <c r="K14" i="3"/>
  <c r="J18" i="3"/>
  <c r="C37" i="2"/>
  <c r="C29" i="2"/>
  <c r="E16" i="2"/>
  <c r="D67" i="2"/>
  <c r="C4" i="8"/>
  <c r="D3" i="9"/>
  <c r="C6" i="2"/>
  <c r="D3" i="3"/>
  <c r="D5" i="2"/>
  <c r="W2" i="9"/>
  <c r="W2" i="3"/>
  <c r="V3" i="8"/>
  <c r="V2" i="3"/>
  <c r="U3" i="8"/>
  <c r="V2" i="9"/>
  <c r="U2" i="3"/>
  <c r="T3" i="8"/>
  <c r="U2" i="9"/>
  <c r="T2" i="9"/>
  <c r="T2" i="3"/>
  <c r="S3" i="8"/>
  <c r="S2" i="9"/>
  <c r="S2" i="3"/>
  <c r="R3" i="8"/>
  <c r="R2" i="9"/>
  <c r="R2" i="3"/>
  <c r="Q3" i="8"/>
  <c r="Q2" i="3"/>
  <c r="P3" i="8"/>
  <c r="Q2" i="9"/>
  <c r="P2" i="3"/>
  <c r="P2" i="9"/>
  <c r="O3" i="8"/>
  <c r="N3" i="8"/>
  <c r="O2" i="3"/>
  <c r="O2" i="9"/>
  <c r="M3" i="8"/>
  <c r="N2" i="3"/>
  <c r="N2" i="9"/>
  <c r="L3" i="8"/>
  <c r="M2" i="3"/>
  <c r="M2" i="9"/>
  <c r="L2" i="9"/>
  <c r="L2" i="3"/>
  <c r="K3" i="8"/>
  <c r="K2" i="3"/>
  <c r="J3" i="8"/>
  <c r="K2" i="9"/>
  <c r="J2" i="3"/>
  <c r="J2" i="9"/>
  <c r="I3" i="8"/>
  <c r="H3" i="8"/>
  <c r="I2" i="9"/>
  <c r="I2" i="3"/>
  <c r="G3" i="8"/>
  <c r="H2" i="3"/>
  <c r="H2" i="9"/>
  <c r="G2" i="9"/>
  <c r="F3" i="8"/>
  <c r="G2" i="3"/>
  <c r="E3" i="8"/>
  <c r="F2" i="9"/>
  <c r="F2" i="3"/>
  <c r="D3" i="8"/>
  <c r="E2" i="9"/>
  <c r="E2" i="3"/>
  <c r="D2" i="9"/>
  <c r="C3" i="8"/>
  <c r="D2" i="3"/>
  <c r="G45" i="1"/>
  <c r="G44" i="1"/>
  <c r="X21" i="6"/>
  <c r="W21" i="6"/>
  <c r="V21" i="6"/>
  <c r="T21" i="6"/>
  <c r="S21" i="6"/>
  <c r="U21" i="6"/>
  <c r="W23" i="6" l="1"/>
  <c r="V23" i="6"/>
  <c r="T23" i="6"/>
  <c r="S23" i="6"/>
  <c r="U23" i="6"/>
  <c r="X23" i="6"/>
  <c r="H25" i="8"/>
  <c r="H80" i="2"/>
  <c r="H25" i="2" s="1"/>
  <c r="G83" i="2"/>
  <c r="G28" i="2" s="1"/>
  <c r="I23" i="6"/>
  <c r="F83" i="2"/>
  <c r="F28" i="2" s="1"/>
  <c r="H23" i="6"/>
  <c r="E83" i="2"/>
  <c r="E28" i="2" s="1"/>
  <c r="G23" i="6"/>
  <c r="D83" i="2"/>
  <c r="D28" i="2" s="1"/>
  <c r="F23" i="6"/>
  <c r="V12" i="5"/>
  <c r="C88" i="2"/>
  <c r="C87" i="2"/>
  <c r="K13" i="8"/>
  <c r="J31" i="8"/>
  <c r="J94" i="2" s="1"/>
  <c r="K12" i="9"/>
  <c r="J14" i="2"/>
  <c r="K12" i="3"/>
  <c r="L12" i="6"/>
  <c r="I36" i="2"/>
  <c r="K12" i="8"/>
  <c r="J24" i="8"/>
  <c r="K11" i="9"/>
  <c r="J13" i="2"/>
  <c r="K11" i="3"/>
  <c r="L11" i="6"/>
  <c r="C14" i="7"/>
  <c r="Y21" i="6"/>
  <c r="C82" i="2"/>
  <c r="Y20" i="6"/>
  <c r="C81" i="2"/>
  <c r="G25" i="2"/>
  <c r="F25" i="2"/>
  <c r="E25" i="2"/>
  <c r="D25" i="2"/>
  <c r="C80" i="2"/>
  <c r="Y19" i="6"/>
  <c r="E23" i="6"/>
  <c r="Y22" i="6"/>
  <c r="C83" i="2"/>
  <c r="H95" i="2"/>
  <c r="G95" i="2"/>
  <c r="F95" i="2"/>
  <c r="E95" i="2"/>
  <c r="D95" i="2"/>
  <c r="X17" i="3"/>
  <c r="D20" i="3"/>
  <c r="C94" i="2"/>
  <c r="F15" i="3"/>
  <c r="E19" i="3"/>
  <c r="C96" i="2"/>
  <c r="L14" i="3"/>
  <c r="K18" i="3"/>
  <c r="I95" i="2"/>
  <c r="F16" i="2"/>
  <c r="E67" i="2"/>
  <c r="E73" i="2" s="1"/>
  <c r="D73" i="2"/>
  <c r="D74" i="2"/>
  <c r="D6" i="2"/>
  <c r="C9" i="2"/>
  <c r="D4" i="3"/>
  <c r="C5" i="8"/>
  <c r="D4" i="9"/>
  <c r="E4" i="6"/>
  <c r="E5" i="2"/>
  <c r="E3" i="3"/>
  <c r="D4" i="8"/>
  <c r="F3" i="6"/>
  <c r="E3" i="9"/>
  <c r="V29" i="5"/>
  <c r="I25" i="8"/>
  <c r="I80" i="2"/>
  <c r="Y23" i="6" l="1"/>
  <c r="H81" i="2"/>
  <c r="H26" i="2" s="1"/>
  <c r="H26" i="8"/>
  <c r="H27" i="8" s="1"/>
  <c r="H82" i="2"/>
  <c r="H27" i="2" s="1"/>
  <c r="I37" i="2"/>
  <c r="J7" i="4"/>
  <c r="J57" i="4" s="1"/>
  <c r="J107" i="4" s="1"/>
  <c r="L13" i="8"/>
  <c r="M12" i="6"/>
  <c r="K31" i="8"/>
  <c r="K94" i="2" s="1"/>
  <c r="L12" i="9"/>
  <c r="K14" i="2"/>
  <c r="L12" i="3"/>
  <c r="J36" i="2"/>
  <c r="L12" i="8"/>
  <c r="M11" i="6"/>
  <c r="K24" i="8"/>
  <c r="L11" i="9"/>
  <c r="K13" i="2"/>
  <c r="L11" i="3"/>
  <c r="J80" i="2"/>
  <c r="J25" i="8"/>
  <c r="C15" i="7"/>
  <c r="C27" i="2"/>
  <c r="C26" i="2"/>
  <c r="C25" i="2"/>
  <c r="C28" i="2"/>
  <c r="I7" i="4"/>
  <c r="I57" i="4" s="1"/>
  <c r="I107" i="4" s="1"/>
  <c r="H37" i="2"/>
  <c r="H7" i="4"/>
  <c r="H57" i="4" s="1"/>
  <c r="H107" i="4" s="1"/>
  <c r="G37" i="2"/>
  <c r="G7" i="4"/>
  <c r="G57" i="4" s="1"/>
  <c r="G107" i="4" s="1"/>
  <c r="F37" i="2"/>
  <c r="F7" i="4"/>
  <c r="F57" i="4" s="1"/>
  <c r="F107" i="4" s="1"/>
  <c r="E37" i="2"/>
  <c r="E7" i="4"/>
  <c r="E57" i="4" s="1"/>
  <c r="E107" i="4" s="1"/>
  <c r="D37" i="2"/>
  <c r="C97" i="2"/>
  <c r="D7" i="4"/>
  <c r="C36" i="2"/>
  <c r="G15" i="3"/>
  <c r="F19" i="3"/>
  <c r="C38" i="2"/>
  <c r="D20" i="4"/>
  <c r="M14" i="3"/>
  <c r="L18" i="3"/>
  <c r="J95" i="2"/>
  <c r="G16" i="2"/>
  <c r="F67" i="2"/>
  <c r="D75" i="2"/>
  <c r="D19" i="2"/>
  <c r="E74" i="2"/>
  <c r="E6" i="2"/>
  <c r="D9" i="2"/>
  <c r="E4" i="3"/>
  <c r="E7" i="3" s="1"/>
  <c r="E8" i="3" s="1"/>
  <c r="E9" i="3" s="1"/>
  <c r="F4" i="6"/>
  <c r="F7" i="6" s="1"/>
  <c r="F8" i="6" s="1"/>
  <c r="F9" i="6" s="1"/>
  <c r="D5" i="8"/>
  <c r="E4" i="9"/>
  <c r="E7" i="9" s="1"/>
  <c r="E8" i="9" s="1"/>
  <c r="E9" i="9" s="1"/>
  <c r="C10" i="2"/>
  <c r="C8" i="8"/>
  <c r="D8" i="3"/>
  <c r="D9" i="3" s="1"/>
  <c r="D7" i="3"/>
  <c r="D8" i="9"/>
  <c r="D9" i="9" s="1"/>
  <c r="D7" i="9"/>
  <c r="E8" i="6"/>
  <c r="E9" i="6" s="1"/>
  <c r="E7" i="6"/>
  <c r="F5" i="2"/>
  <c r="F3" i="3"/>
  <c r="G3" i="6"/>
  <c r="E4" i="8"/>
  <c r="F3" i="9"/>
  <c r="I26" i="8"/>
  <c r="I81" i="2"/>
  <c r="I26" i="2" s="1"/>
  <c r="I25" i="2"/>
  <c r="D96" i="2"/>
  <c r="D97" i="2" s="1"/>
  <c r="E20" i="3"/>
  <c r="D72" i="2" l="1"/>
  <c r="D77" i="2"/>
  <c r="H83" i="2"/>
  <c r="H28" i="2" s="1"/>
  <c r="H28" i="8"/>
  <c r="J37" i="2"/>
  <c r="K7" i="4"/>
  <c r="K57" i="4" s="1"/>
  <c r="K107" i="4" s="1"/>
  <c r="E75" i="2"/>
  <c r="E77" i="2" s="1"/>
  <c r="M13" i="8"/>
  <c r="L31" i="8"/>
  <c r="L94" i="2" s="1"/>
  <c r="M12" i="9"/>
  <c r="L14" i="2"/>
  <c r="M12" i="3"/>
  <c r="N12" i="6"/>
  <c r="K36" i="2"/>
  <c r="M12" i="8"/>
  <c r="L24" i="8"/>
  <c r="M11" i="9"/>
  <c r="L13" i="2"/>
  <c r="M11" i="3"/>
  <c r="N11" i="6"/>
  <c r="K80" i="2"/>
  <c r="K25" i="8"/>
  <c r="J25" i="2"/>
  <c r="J81" i="2"/>
  <c r="J26" i="8"/>
  <c r="C16" i="7"/>
  <c r="D57" i="4"/>
  <c r="C39" i="2"/>
  <c r="H15" i="3"/>
  <c r="G19" i="3"/>
  <c r="F20" i="3"/>
  <c r="E96" i="2"/>
  <c r="D70" i="4"/>
  <c r="N14" i="3"/>
  <c r="M18" i="3"/>
  <c r="K95" i="2"/>
  <c r="L7" i="4" s="1"/>
  <c r="H16" i="2"/>
  <c r="G67" i="2"/>
  <c r="G73" i="2" s="1"/>
  <c r="F73" i="2"/>
  <c r="D20" i="2"/>
  <c r="F6" i="2"/>
  <c r="E9" i="2"/>
  <c r="F4" i="3"/>
  <c r="F7" i="3" s="1"/>
  <c r="F8" i="3" s="1"/>
  <c r="F9" i="3" s="1"/>
  <c r="E5" i="8"/>
  <c r="G4" i="6"/>
  <c r="G7" i="6" s="1"/>
  <c r="G8" i="6" s="1"/>
  <c r="G9" i="6" s="1"/>
  <c r="F4" i="9"/>
  <c r="F7" i="9" s="1"/>
  <c r="F8" i="9" s="1"/>
  <c r="F9" i="9" s="1"/>
  <c r="D10" i="2"/>
  <c r="D8" i="8"/>
  <c r="C11" i="2"/>
  <c r="C10" i="8" s="1"/>
  <c r="C9" i="8"/>
  <c r="G5" i="2"/>
  <c r="G3" i="3"/>
  <c r="F4" i="8"/>
  <c r="G3" i="9"/>
  <c r="H3" i="6"/>
  <c r="I82" i="2"/>
  <c r="I27" i="8"/>
  <c r="D38" i="2"/>
  <c r="E20" i="4"/>
  <c r="E16" i="9"/>
  <c r="E35" i="9"/>
  <c r="F74" i="2"/>
  <c r="E19" i="2"/>
  <c r="D18" i="2" l="1"/>
  <c r="D22" i="2"/>
  <c r="E22" i="9"/>
  <c r="D88" i="2" s="1"/>
  <c r="E24" i="9"/>
  <c r="D90" i="2" s="1"/>
  <c r="E46" i="9"/>
  <c r="E72" i="2"/>
  <c r="E20" i="2"/>
  <c r="F35" i="9"/>
  <c r="F16" i="9"/>
  <c r="E87" i="2" s="1"/>
  <c r="F22" i="9"/>
  <c r="E88" i="2" s="1"/>
  <c r="F24" i="9"/>
  <c r="E90" i="2" s="1"/>
  <c r="F46" i="9"/>
  <c r="G74" i="2"/>
  <c r="N13" i="8"/>
  <c r="M31" i="8"/>
  <c r="M94" i="2" s="1"/>
  <c r="N12" i="9"/>
  <c r="M14" i="2"/>
  <c r="N12" i="3"/>
  <c r="O12" i="6"/>
  <c r="L36" i="2"/>
  <c r="N12" i="8"/>
  <c r="M24" i="8"/>
  <c r="N11" i="9"/>
  <c r="M13" i="2"/>
  <c r="N11" i="3"/>
  <c r="O11" i="6"/>
  <c r="L80" i="2"/>
  <c r="L25" i="8"/>
  <c r="K25" i="2"/>
  <c r="K81" i="2"/>
  <c r="K26" i="8"/>
  <c r="J26" i="2"/>
  <c r="J82" i="2"/>
  <c r="J27" i="8"/>
  <c r="C17" i="7"/>
  <c r="D107" i="4"/>
  <c r="I15" i="3"/>
  <c r="H19" i="3"/>
  <c r="G20" i="3"/>
  <c r="F96" i="2"/>
  <c r="E97" i="2"/>
  <c r="F20" i="4"/>
  <c r="E38" i="2"/>
  <c r="D120" i="4"/>
  <c r="O14" i="3"/>
  <c r="N18" i="3"/>
  <c r="L95" i="2"/>
  <c r="K37" i="2"/>
  <c r="I16" i="2"/>
  <c r="H67" i="2"/>
  <c r="H73" i="2" s="1"/>
  <c r="F19" i="2"/>
  <c r="F75" i="2"/>
  <c r="G35" i="9"/>
  <c r="G16" i="9"/>
  <c r="G6" i="2"/>
  <c r="F9" i="2"/>
  <c r="G4" i="3"/>
  <c r="G7" i="3" s="1"/>
  <c r="G8" i="3" s="1"/>
  <c r="G9" i="3" s="1"/>
  <c r="F5" i="8"/>
  <c r="G4" i="9"/>
  <c r="G7" i="9" s="1"/>
  <c r="G8" i="9" s="1"/>
  <c r="G9" i="9" s="1"/>
  <c r="H4" i="6"/>
  <c r="H7" i="6" s="1"/>
  <c r="H8" i="6" s="1"/>
  <c r="H9" i="6" s="1"/>
  <c r="E10" i="2"/>
  <c r="E8" i="8"/>
  <c r="D11" i="2"/>
  <c r="D10" i="8" s="1"/>
  <c r="D9" i="8"/>
  <c r="H5" i="2"/>
  <c r="H3" i="3"/>
  <c r="I3" i="6"/>
  <c r="G4" i="8"/>
  <c r="H3" i="9"/>
  <c r="I27" i="2"/>
  <c r="I83" i="2"/>
  <c r="I28" i="8"/>
  <c r="D87" i="2"/>
  <c r="L57" i="4"/>
  <c r="L107" i="4" s="1"/>
  <c r="D39" i="2"/>
  <c r="E70" i="4"/>
  <c r="E120" i="4" s="1"/>
  <c r="H74" i="2" l="1"/>
  <c r="G19" i="2"/>
  <c r="G75" i="2"/>
  <c r="H16" i="9"/>
  <c r="G87" i="2" s="1"/>
  <c r="E18" i="2"/>
  <c r="E22" i="2"/>
  <c r="O13" i="8"/>
  <c r="P12" i="6"/>
  <c r="N31" i="8"/>
  <c r="N94" i="2" s="1"/>
  <c r="O12" i="9"/>
  <c r="N14" i="2"/>
  <c r="O12" i="3"/>
  <c r="M36" i="2"/>
  <c r="O12" i="8"/>
  <c r="P11" i="6"/>
  <c r="N24" i="8"/>
  <c r="O11" i="9"/>
  <c r="N13" i="2"/>
  <c r="O11" i="3"/>
  <c r="M80" i="2"/>
  <c r="M25" i="8"/>
  <c r="L25" i="2"/>
  <c r="L81" i="2"/>
  <c r="L26" i="8"/>
  <c r="K82" i="2"/>
  <c r="K27" i="8"/>
  <c r="J27" i="2"/>
  <c r="J83" i="2"/>
  <c r="J28" i="8"/>
  <c r="C18" i="7"/>
  <c r="J15" i="3"/>
  <c r="I19" i="3"/>
  <c r="H20" i="3"/>
  <c r="G96" i="2"/>
  <c r="F97" i="2"/>
  <c r="F38" i="2"/>
  <c r="G20" i="4"/>
  <c r="F70" i="4"/>
  <c r="P14" i="3"/>
  <c r="O18" i="3"/>
  <c r="M95" i="2"/>
  <c r="N7" i="4" s="1"/>
  <c r="N57" i="4" s="1"/>
  <c r="N107" i="4" s="1"/>
  <c r="J16" i="2"/>
  <c r="I67" i="2"/>
  <c r="F20" i="2"/>
  <c r="F87" i="2"/>
  <c r="H6" i="2"/>
  <c r="G9" i="2"/>
  <c r="H4" i="3"/>
  <c r="H7" i="3" s="1"/>
  <c r="H8" i="3" s="1"/>
  <c r="H9" i="3" s="1"/>
  <c r="G5" i="8"/>
  <c r="I4" i="6"/>
  <c r="I7" i="6" s="1"/>
  <c r="I8" i="6" s="1"/>
  <c r="I9" i="6" s="1"/>
  <c r="H4" i="9"/>
  <c r="H7" i="9" s="1"/>
  <c r="H8" i="9" s="1"/>
  <c r="H9" i="9" s="1"/>
  <c r="F10" i="2"/>
  <c r="F8" i="8"/>
  <c r="E11" i="2"/>
  <c r="E10" i="8" s="1"/>
  <c r="E9" i="8"/>
  <c r="I5" i="2"/>
  <c r="I3" i="3"/>
  <c r="H4" i="8"/>
  <c r="J3" i="6"/>
  <c r="I3" i="9"/>
  <c r="I28" i="2"/>
  <c r="K26" i="2"/>
  <c r="E39" i="2"/>
  <c r="L37" i="2"/>
  <c r="M7" i="4"/>
  <c r="F72" i="2"/>
  <c r="F77" i="2"/>
  <c r="G72" i="2" l="1"/>
  <c r="G77" i="2"/>
  <c r="H35" i="9"/>
  <c r="G20" i="2"/>
  <c r="H75" i="2"/>
  <c r="H77" i="2" s="1"/>
  <c r="H19" i="2"/>
  <c r="I74" i="2"/>
  <c r="I73" i="2"/>
  <c r="P13" i="8"/>
  <c r="O31" i="8"/>
  <c r="O94" i="2" s="1"/>
  <c r="P12" i="9"/>
  <c r="O14" i="2"/>
  <c r="P12" i="3"/>
  <c r="Q12" i="6"/>
  <c r="N36" i="2"/>
  <c r="P12" i="8"/>
  <c r="O24" i="8"/>
  <c r="P11" i="9"/>
  <c r="O13" i="2"/>
  <c r="P11" i="3"/>
  <c r="Q11" i="6"/>
  <c r="N80" i="2"/>
  <c r="N25" i="8"/>
  <c r="M25" i="2"/>
  <c r="M81" i="2"/>
  <c r="M26" i="8"/>
  <c r="L26" i="2"/>
  <c r="L82" i="2"/>
  <c r="L27" i="2" s="1"/>
  <c r="L27" i="8"/>
  <c r="K27" i="2"/>
  <c r="K83" i="2"/>
  <c r="K28" i="2" s="1"/>
  <c r="K28" i="8"/>
  <c r="C19" i="7"/>
  <c r="K15" i="3"/>
  <c r="J19" i="3"/>
  <c r="I20" i="3"/>
  <c r="H96" i="2"/>
  <c r="G97" i="2"/>
  <c r="H20" i="4"/>
  <c r="G38" i="2"/>
  <c r="F120" i="4"/>
  <c r="Q14" i="3"/>
  <c r="P18" i="3"/>
  <c r="N95" i="2"/>
  <c r="M37" i="2"/>
  <c r="K16" i="2"/>
  <c r="J67" i="2"/>
  <c r="I6" i="2"/>
  <c r="H9" i="2"/>
  <c r="I4" i="3"/>
  <c r="I7" i="3" s="1"/>
  <c r="I8" i="3" s="1"/>
  <c r="I9" i="3" s="1"/>
  <c r="J4" i="6"/>
  <c r="J7" i="6" s="1"/>
  <c r="J8" i="6" s="1"/>
  <c r="J9" i="6" s="1"/>
  <c r="H5" i="8"/>
  <c r="I4" i="9"/>
  <c r="I7" i="9" s="1"/>
  <c r="I8" i="9" s="1"/>
  <c r="I9" i="9" s="1"/>
  <c r="G10" i="2"/>
  <c r="G8" i="8"/>
  <c r="F11" i="2"/>
  <c r="F10" i="8" s="1"/>
  <c r="F9" i="8"/>
  <c r="J5" i="2"/>
  <c r="J3" i="3"/>
  <c r="I4" i="8"/>
  <c r="J3" i="9"/>
  <c r="K3" i="6"/>
  <c r="M57" i="4"/>
  <c r="G46" i="9"/>
  <c r="G24" i="9"/>
  <c r="F90" i="2" s="1"/>
  <c r="G22" i="9"/>
  <c r="H46" i="9"/>
  <c r="H24" i="9"/>
  <c r="G90" i="2" s="1"/>
  <c r="H22" i="9"/>
  <c r="G88" i="2" s="1"/>
  <c r="J28" i="2"/>
  <c r="F39" i="2"/>
  <c r="G70" i="4"/>
  <c r="G120" i="4" s="1"/>
  <c r="F18" i="2"/>
  <c r="F22" i="2"/>
  <c r="I35" i="9"/>
  <c r="I16" i="9"/>
  <c r="G22" i="2" l="1"/>
  <c r="G18" i="2"/>
  <c r="H72" i="2"/>
  <c r="H20" i="2"/>
  <c r="I22" i="9"/>
  <c r="I24" i="9"/>
  <c r="H90" i="2" s="1"/>
  <c r="I46" i="9"/>
  <c r="J74" i="2"/>
  <c r="J73" i="2"/>
  <c r="I75" i="2"/>
  <c r="I19" i="2"/>
  <c r="Q13" i="8"/>
  <c r="R12" i="6"/>
  <c r="P31" i="8"/>
  <c r="P94" i="2" s="1"/>
  <c r="Q12" i="9"/>
  <c r="P14" i="2"/>
  <c r="Q12" i="3"/>
  <c r="O36" i="2"/>
  <c r="Q12" i="8"/>
  <c r="P24" i="8"/>
  <c r="Q11" i="9"/>
  <c r="P13" i="2"/>
  <c r="Q11" i="3"/>
  <c r="R11" i="6"/>
  <c r="O80" i="2"/>
  <c r="O25" i="8"/>
  <c r="N25" i="2"/>
  <c r="N81" i="2"/>
  <c r="N26" i="8"/>
  <c r="M82" i="2"/>
  <c r="M27" i="8"/>
  <c r="L83" i="2"/>
  <c r="L28" i="8"/>
  <c r="F19" i="7"/>
  <c r="D19" i="7"/>
  <c r="E19" i="7"/>
  <c r="G19" i="7"/>
  <c r="C20" i="7"/>
  <c r="L15" i="3"/>
  <c r="K19" i="3"/>
  <c r="J20" i="3"/>
  <c r="I96" i="2"/>
  <c r="H97" i="2"/>
  <c r="I20" i="4"/>
  <c r="H38" i="2"/>
  <c r="H70" i="4"/>
  <c r="R14" i="3"/>
  <c r="Q18" i="3"/>
  <c r="O95" i="2"/>
  <c r="L16" i="2"/>
  <c r="K67" i="2"/>
  <c r="J6" i="2"/>
  <c r="I9" i="2"/>
  <c r="J4" i="3"/>
  <c r="J7" i="3" s="1"/>
  <c r="J8" i="3" s="1"/>
  <c r="J9" i="3" s="1"/>
  <c r="I5" i="8"/>
  <c r="J4" i="9"/>
  <c r="J7" i="9" s="1"/>
  <c r="J8" i="9" s="1"/>
  <c r="J9" i="9" s="1"/>
  <c r="K4" i="6"/>
  <c r="K7" i="6" s="1"/>
  <c r="K8" i="6" s="1"/>
  <c r="K9" i="6" s="1"/>
  <c r="H10" i="2"/>
  <c r="H8" i="8"/>
  <c r="G11" i="2"/>
  <c r="G10" i="8" s="1"/>
  <c r="G9" i="8"/>
  <c r="K5" i="2"/>
  <c r="K3" i="3"/>
  <c r="L3" i="6"/>
  <c r="J4" i="8"/>
  <c r="K3" i="9"/>
  <c r="M107" i="4"/>
  <c r="F88" i="2"/>
  <c r="H87" i="2"/>
  <c r="M26" i="2"/>
  <c r="G39" i="2"/>
  <c r="N37" i="2"/>
  <c r="O7" i="4"/>
  <c r="K74" i="2" l="1"/>
  <c r="L74" i="2" s="1"/>
  <c r="H22" i="2"/>
  <c r="H18" i="2"/>
  <c r="H88" i="2"/>
  <c r="I54" i="9"/>
  <c r="K73" i="2"/>
  <c r="J75" i="2"/>
  <c r="J19" i="2"/>
  <c r="J35" i="9"/>
  <c r="J16" i="9"/>
  <c r="I87" i="2" s="1"/>
  <c r="I77" i="2"/>
  <c r="I72" i="2"/>
  <c r="I20" i="2"/>
  <c r="R13" i="8"/>
  <c r="Q31" i="8"/>
  <c r="Q94" i="2" s="1"/>
  <c r="R12" i="9"/>
  <c r="Q14" i="2"/>
  <c r="R12" i="3"/>
  <c r="S12" i="6"/>
  <c r="P36" i="2"/>
  <c r="R12" i="8"/>
  <c r="Q24" i="8"/>
  <c r="R11" i="9"/>
  <c r="Q13" i="2"/>
  <c r="R11" i="3"/>
  <c r="S11" i="6"/>
  <c r="P80" i="2"/>
  <c r="P25" i="8"/>
  <c r="O25" i="2"/>
  <c r="O81" i="2"/>
  <c r="O26" i="8"/>
  <c r="N26" i="2"/>
  <c r="N82" i="2"/>
  <c r="N27" i="8"/>
  <c r="M27" i="2"/>
  <c r="M83" i="2"/>
  <c r="M28" i="2" s="1"/>
  <c r="M28" i="8"/>
  <c r="L28" i="2"/>
  <c r="H19" i="7"/>
  <c r="J84" i="2"/>
  <c r="F20" i="7"/>
  <c r="C21" i="7"/>
  <c r="D20" i="7"/>
  <c r="E20" i="7"/>
  <c r="G20" i="7"/>
  <c r="M15" i="3"/>
  <c r="L19" i="3"/>
  <c r="K20" i="3"/>
  <c r="J96" i="2"/>
  <c r="I97" i="2"/>
  <c r="J20" i="4"/>
  <c r="I38" i="2"/>
  <c r="I39" i="2" s="1"/>
  <c r="I70" i="4"/>
  <c r="H120" i="4"/>
  <c r="S14" i="3"/>
  <c r="R18" i="3"/>
  <c r="P95" i="2"/>
  <c r="O37" i="2"/>
  <c r="M16" i="2"/>
  <c r="L67" i="2"/>
  <c r="K6" i="2"/>
  <c r="J9" i="2"/>
  <c r="K4" i="3"/>
  <c r="K7" i="3" s="1"/>
  <c r="K8" i="3" s="1"/>
  <c r="K9" i="3" s="1"/>
  <c r="L4" i="6"/>
  <c r="L7" i="6" s="1"/>
  <c r="L8" i="6" s="1"/>
  <c r="L9" i="6" s="1"/>
  <c r="J5" i="8"/>
  <c r="K4" i="9"/>
  <c r="K7" i="9" s="1"/>
  <c r="K8" i="9" s="1"/>
  <c r="K9" i="9" s="1"/>
  <c r="I10" i="2"/>
  <c r="I8" i="8"/>
  <c r="H11" i="2"/>
  <c r="H10" i="8" s="1"/>
  <c r="H9" i="8"/>
  <c r="L5" i="2"/>
  <c r="L3" i="3"/>
  <c r="M3" i="6"/>
  <c r="K4" i="8"/>
  <c r="L3" i="9"/>
  <c r="O57" i="4"/>
  <c r="H39" i="2"/>
  <c r="P7" i="4"/>
  <c r="L73" i="2" l="1"/>
  <c r="K75" i="2"/>
  <c r="K77" i="2" s="1"/>
  <c r="K19" i="2"/>
  <c r="K72" i="2"/>
  <c r="J20" i="2"/>
  <c r="K16" i="9"/>
  <c r="J87" i="2" s="1"/>
  <c r="K35" i="9"/>
  <c r="J77" i="2"/>
  <c r="J72" i="2"/>
  <c r="J22" i="2"/>
  <c r="J18" i="2"/>
  <c r="J22" i="9"/>
  <c r="I88" i="2" s="1"/>
  <c r="J46" i="9"/>
  <c r="J24" i="9"/>
  <c r="I90" i="2" s="1"/>
  <c r="I22" i="2"/>
  <c r="I18" i="2"/>
  <c r="S13" i="8"/>
  <c r="R31" i="8"/>
  <c r="R94" i="2" s="1"/>
  <c r="S12" i="9"/>
  <c r="R14" i="2"/>
  <c r="S12" i="3"/>
  <c r="T12" i="6"/>
  <c r="Q36" i="2"/>
  <c r="S12" i="8"/>
  <c r="R24" i="8"/>
  <c r="S11" i="9"/>
  <c r="R13" i="2"/>
  <c r="S11" i="3"/>
  <c r="T11" i="6"/>
  <c r="Q80" i="2"/>
  <c r="Q25" i="8"/>
  <c r="P25" i="2"/>
  <c r="P81" i="2"/>
  <c r="P26" i="8"/>
  <c r="O82" i="2"/>
  <c r="O27" i="8"/>
  <c r="N27" i="2"/>
  <c r="N83" i="2"/>
  <c r="N28" i="8"/>
  <c r="J29" i="2"/>
  <c r="E21" i="7"/>
  <c r="G21" i="7"/>
  <c r="D21" i="7"/>
  <c r="F21" i="7"/>
  <c r="C22" i="7"/>
  <c r="K84" i="2"/>
  <c r="H20" i="7"/>
  <c r="N15" i="3"/>
  <c r="M19" i="3"/>
  <c r="L20" i="3"/>
  <c r="K96" i="2"/>
  <c r="J97" i="2"/>
  <c r="J38" i="2"/>
  <c r="K20" i="4"/>
  <c r="J70" i="4"/>
  <c r="T14" i="3"/>
  <c r="S18" i="3"/>
  <c r="Q95" i="2"/>
  <c r="N16" i="2"/>
  <c r="M67" i="2"/>
  <c r="L6" i="2"/>
  <c r="K9" i="2"/>
  <c r="L4" i="3"/>
  <c r="L7" i="3" s="1"/>
  <c r="L8" i="3" s="1"/>
  <c r="L9" i="3" s="1"/>
  <c r="K5" i="8"/>
  <c r="L4" i="9"/>
  <c r="L7" i="9" s="1"/>
  <c r="L8" i="9" s="1"/>
  <c r="L9" i="9" s="1"/>
  <c r="M4" i="6"/>
  <c r="M7" i="6" s="1"/>
  <c r="M8" i="6" s="1"/>
  <c r="M9" i="6" s="1"/>
  <c r="J10" i="2"/>
  <c r="J8" i="8"/>
  <c r="I11" i="2"/>
  <c r="I10" i="8" s="1"/>
  <c r="I9" i="8"/>
  <c r="M5" i="2"/>
  <c r="M3" i="3"/>
  <c r="L4" i="8"/>
  <c r="M3" i="9"/>
  <c r="N3" i="6"/>
  <c r="O107" i="4"/>
  <c r="O26" i="2"/>
  <c r="I120" i="4"/>
  <c r="P37" i="2"/>
  <c r="Q7" i="4"/>
  <c r="P57" i="4"/>
  <c r="P107" i="4" s="1"/>
  <c r="L75" i="2" l="1"/>
  <c r="M16" i="9" s="1"/>
  <c r="L19" i="2"/>
  <c r="K20" i="2"/>
  <c r="L35" i="9"/>
  <c r="L16" i="9"/>
  <c r="L22" i="9"/>
  <c r="K88" i="2" s="1"/>
  <c r="L24" i="9"/>
  <c r="K90" i="2" s="1"/>
  <c r="L46" i="9"/>
  <c r="K24" i="9"/>
  <c r="J90" i="2" s="1"/>
  <c r="K46" i="9"/>
  <c r="K22" i="9"/>
  <c r="J54" i="9"/>
  <c r="T13" i="8"/>
  <c r="U12" i="6"/>
  <c r="S31" i="8"/>
  <c r="S94" i="2" s="1"/>
  <c r="T12" i="9"/>
  <c r="S14" i="2"/>
  <c r="T12" i="3"/>
  <c r="R36" i="2"/>
  <c r="T12" i="8"/>
  <c r="S24" i="8"/>
  <c r="T11" i="9"/>
  <c r="S13" i="2"/>
  <c r="T11" i="3"/>
  <c r="U11" i="6"/>
  <c r="R80" i="2"/>
  <c r="R25" i="8"/>
  <c r="Q25" i="2"/>
  <c r="Q81" i="2"/>
  <c r="Q26" i="8"/>
  <c r="P26" i="2"/>
  <c r="P82" i="2"/>
  <c r="P27" i="8"/>
  <c r="O27" i="2"/>
  <c r="O83" i="2"/>
  <c r="O28" i="2" s="1"/>
  <c r="O28" i="8"/>
  <c r="N28" i="2"/>
  <c r="H21" i="7"/>
  <c r="L84" i="2"/>
  <c r="F22" i="7"/>
  <c r="D22" i="7"/>
  <c r="E22" i="7"/>
  <c r="G22" i="7"/>
  <c r="C23" i="7"/>
  <c r="K29" i="2"/>
  <c r="O15" i="3"/>
  <c r="N19" i="3"/>
  <c r="M20" i="3"/>
  <c r="L96" i="2"/>
  <c r="K97" i="2"/>
  <c r="L20" i="4"/>
  <c r="K38" i="2"/>
  <c r="K39" i="2" s="1"/>
  <c r="J39" i="2"/>
  <c r="K70" i="4"/>
  <c r="K120" i="4" s="1"/>
  <c r="J120" i="4"/>
  <c r="U14" i="3"/>
  <c r="T18" i="3"/>
  <c r="R95" i="2"/>
  <c r="Q37" i="2"/>
  <c r="O16" i="2"/>
  <c r="N67" i="2"/>
  <c r="M6" i="2"/>
  <c r="L9" i="2"/>
  <c r="M4" i="3"/>
  <c r="M7" i="3" s="1"/>
  <c r="M8" i="3" s="1"/>
  <c r="M9" i="3" s="1"/>
  <c r="N4" i="6"/>
  <c r="N7" i="6" s="1"/>
  <c r="N8" i="6" s="1"/>
  <c r="N9" i="6" s="1"/>
  <c r="L5" i="8"/>
  <c r="M4" i="9"/>
  <c r="M7" i="9" s="1"/>
  <c r="M8" i="9" s="1"/>
  <c r="M9" i="9" s="1"/>
  <c r="K10" i="2"/>
  <c r="K8" i="8"/>
  <c r="J11" i="2"/>
  <c r="J10" i="8" s="1"/>
  <c r="J9" i="8"/>
  <c r="N5" i="2"/>
  <c r="N3" i="3"/>
  <c r="M4" i="8"/>
  <c r="O3" i="6"/>
  <c r="N3" i="9"/>
  <c r="Q57" i="4"/>
  <c r="R7" i="4"/>
  <c r="M74" i="2"/>
  <c r="M73" i="2"/>
  <c r="L77" i="2" l="1"/>
  <c r="L72" i="2"/>
  <c r="L20" i="2"/>
  <c r="M35" i="9"/>
  <c r="K18" i="2"/>
  <c r="K22" i="2"/>
  <c r="K87" i="2"/>
  <c r="L54" i="9"/>
  <c r="J88" i="2"/>
  <c r="K54" i="9"/>
  <c r="M22" i="9"/>
  <c r="L88" i="2" s="1"/>
  <c r="M24" i="9"/>
  <c r="M46" i="9"/>
  <c r="U13" i="8"/>
  <c r="T31" i="8"/>
  <c r="T94" i="2" s="1"/>
  <c r="U12" i="9"/>
  <c r="T14" i="2"/>
  <c r="U12" i="3"/>
  <c r="V12" i="6"/>
  <c r="S36" i="2"/>
  <c r="U12" i="8"/>
  <c r="V11" i="6"/>
  <c r="T24" i="8"/>
  <c r="U11" i="9"/>
  <c r="T13" i="2"/>
  <c r="U11" i="3"/>
  <c r="S80" i="2"/>
  <c r="S25" i="8"/>
  <c r="R25" i="2"/>
  <c r="R81" i="2"/>
  <c r="R26" i="8"/>
  <c r="Q82" i="2"/>
  <c r="Q27" i="2" s="1"/>
  <c r="Q27" i="8"/>
  <c r="P83" i="2"/>
  <c r="P28" i="8"/>
  <c r="L29" i="2"/>
  <c r="H22" i="7"/>
  <c r="M84" i="2"/>
  <c r="F23" i="7"/>
  <c r="C24" i="7"/>
  <c r="D23" i="7"/>
  <c r="E23" i="7"/>
  <c r="G23" i="7"/>
  <c r="P15" i="3"/>
  <c r="O19" i="3"/>
  <c r="N20" i="3"/>
  <c r="M96" i="2"/>
  <c r="L97" i="2"/>
  <c r="M20" i="4"/>
  <c r="L38" i="2"/>
  <c r="L70" i="4"/>
  <c r="V14" i="3"/>
  <c r="U18" i="3"/>
  <c r="S95" i="2"/>
  <c r="P16" i="2"/>
  <c r="O67" i="2"/>
  <c r="N6" i="2"/>
  <c r="M9" i="2"/>
  <c r="N4" i="3"/>
  <c r="N7" i="3" s="1"/>
  <c r="N8" i="3" s="1"/>
  <c r="N9" i="3" s="1"/>
  <c r="M5" i="8"/>
  <c r="O4" i="6"/>
  <c r="O7" i="6" s="1"/>
  <c r="O8" i="6" s="1"/>
  <c r="O9" i="6" s="1"/>
  <c r="N4" i="9"/>
  <c r="N7" i="9" s="1"/>
  <c r="N8" i="9" s="1"/>
  <c r="N9" i="9" s="1"/>
  <c r="L10" i="2"/>
  <c r="L8" i="8"/>
  <c r="K11" i="2"/>
  <c r="K10" i="8" s="1"/>
  <c r="K9" i="8"/>
  <c r="O5" i="2"/>
  <c r="O3" i="3"/>
  <c r="P3" i="6"/>
  <c r="N4" i="8"/>
  <c r="O3" i="9"/>
  <c r="Q107" i="4"/>
  <c r="R57" i="4"/>
  <c r="N74" i="2"/>
  <c r="M19" i="2"/>
  <c r="M75" i="2"/>
  <c r="N73" i="2"/>
  <c r="L87" i="2"/>
  <c r="Q26" i="2"/>
  <c r="P27" i="2"/>
  <c r="R37" i="2"/>
  <c r="S7" i="4"/>
  <c r="L22" i="2" l="1"/>
  <c r="L18" i="2"/>
  <c r="L90" i="2"/>
  <c r="M54" i="9"/>
  <c r="M72" i="2"/>
  <c r="M77" i="2"/>
  <c r="N35" i="9"/>
  <c r="N16" i="9"/>
  <c r="V13" i="8"/>
  <c r="W12" i="6"/>
  <c r="U31" i="8"/>
  <c r="U94" i="2" s="1"/>
  <c r="V12" i="9"/>
  <c r="U14" i="2"/>
  <c r="V12" i="3"/>
  <c r="T36" i="2"/>
  <c r="V12" i="8"/>
  <c r="U24" i="8"/>
  <c r="V11" i="9"/>
  <c r="U13" i="2"/>
  <c r="V11" i="3"/>
  <c r="W11" i="6"/>
  <c r="T80" i="2"/>
  <c r="T25" i="8"/>
  <c r="S25" i="2"/>
  <c r="S81" i="2"/>
  <c r="S26" i="8"/>
  <c r="R26" i="2"/>
  <c r="R82" i="2"/>
  <c r="R27" i="8"/>
  <c r="Q83" i="2"/>
  <c r="Q28" i="8"/>
  <c r="P28" i="2"/>
  <c r="M29" i="2"/>
  <c r="E24" i="7"/>
  <c r="D24" i="7"/>
  <c r="F24" i="7"/>
  <c r="G24" i="7"/>
  <c r="C25" i="7"/>
  <c r="N84" i="2"/>
  <c r="H23" i="7"/>
  <c r="Q15" i="3"/>
  <c r="P19" i="3"/>
  <c r="O20" i="3"/>
  <c r="N96" i="2"/>
  <c r="M97" i="2"/>
  <c r="N20" i="4"/>
  <c r="M38" i="2"/>
  <c r="M39" i="2" s="1"/>
  <c r="M70" i="4"/>
  <c r="L39" i="2"/>
  <c r="L120" i="4"/>
  <c r="W14" i="3"/>
  <c r="W18" i="3" s="1"/>
  <c r="V18" i="3"/>
  <c r="T95" i="2"/>
  <c r="S37" i="2"/>
  <c r="Q16" i="2"/>
  <c r="P67" i="2"/>
  <c r="O6" i="2"/>
  <c r="N9" i="2"/>
  <c r="O4" i="3"/>
  <c r="O7" i="3" s="1"/>
  <c r="O8" i="3" s="1"/>
  <c r="O9" i="3" s="1"/>
  <c r="P4" i="6"/>
  <c r="P7" i="6" s="1"/>
  <c r="P8" i="6" s="1"/>
  <c r="P9" i="6" s="1"/>
  <c r="N5" i="8"/>
  <c r="O4" i="9"/>
  <c r="O7" i="9" s="1"/>
  <c r="O8" i="9" s="1"/>
  <c r="O9" i="9" s="1"/>
  <c r="M10" i="2"/>
  <c r="M8" i="8"/>
  <c r="L11" i="2"/>
  <c r="L10" i="8" s="1"/>
  <c r="L9" i="8"/>
  <c r="P5" i="2"/>
  <c r="P3" i="3"/>
  <c r="Q3" i="6"/>
  <c r="O4" i="8"/>
  <c r="P3" i="9"/>
  <c r="M20" i="2"/>
  <c r="O73" i="2"/>
  <c r="N75" i="2"/>
  <c r="N19" i="2"/>
  <c r="T7" i="4"/>
  <c r="R107" i="4"/>
  <c r="O74" i="2"/>
  <c r="S57" i="4"/>
  <c r="S107" i="4" s="1"/>
  <c r="P74" i="2" l="1"/>
  <c r="N22" i="9"/>
  <c r="M88" i="2" s="1"/>
  <c r="N46" i="9"/>
  <c r="N24" i="9"/>
  <c r="M90" i="2" s="1"/>
  <c r="N72" i="2"/>
  <c r="O35" i="9"/>
  <c r="M87" i="2"/>
  <c r="V31" i="8"/>
  <c r="V94" i="2" s="1"/>
  <c r="W12" i="9"/>
  <c r="V14" i="2"/>
  <c r="W12" i="3"/>
  <c r="X12" i="6"/>
  <c r="U36" i="2"/>
  <c r="V24" i="8"/>
  <c r="W11" i="9"/>
  <c r="V13" i="2"/>
  <c r="W11" i="3"/>
  <c r="X11" i="6"/>
  <c r="U80" i="2"/>
  <c r="U25" i="8"/>
  <c r="T25" i="2"/>
  <c r="T81" i="2"/>
  <c r="T26" i="8"/>
  <c r="S82" i="2"/>
  <c r="S27" i="2" s="1"/>
  <c r="S27" i="8"/>
  <c r="R27" i="2"/>
  <c r="R83" i="2"/>
  <c r="R28" i="8"/>
  <c r="Q28" i="2"/>
  <c r="O84" i="2"/>
  <c r="H24" i="7"/>
  <c r="E25" i="7"/>
  <c r="G25" i="7"/>
  <c r="C26" i="7"/>
  <c r="D25" i="7"/>
  <c r="F25" i="7"/>
  <c r="N29" i="2"/>
  <c r="R15" i="3"/>
  <c r="Q19" i="3"/>
  <c r="P20" i="3"/>
  <c r="O96" i="2"/>
  <c r="N97" i="2"/>
  <c r="N38" i="2"/>
  <c r="O20" i="4"/>
  <c r="N70" i="4"/>
  <c r="V95" i="2"/>
  <c r="V37" i="2" s="1"/>
  <c r="X18" i="3"/>
  <c r="U95" i="2"/>
  <c r="R16" i="2"/>
  <c r="Q67" i="2"/>
  <c r="P6" i="2"/>
  <c r="O9" i="2"/>
  <c r="P4" i="3"/>
  <c r="P7" i="3" s="1"/>
  <c r="P8" i="3" s="1"/>
  <c r="P9" i="3" s="1"/>
  <c r="O5" i="8"/>
  <c r="P4" i="9"/>
  <c r="P7" i="9" s="1"/>
  <c r="P8" i="9" s="1"/>
  <c r="P9" i="9" s="1"/>
  <c r="Q4" i="6"/>
  <c r="Q7" i="6" s="1"/>
  <c r="Q8" i="6" s="1"/>
  <c r="Q9" i="6" s="1"/>
  <c r="N10" i="2"/>
  <c r="N8" i="8"/>
  <c r="M11" i="2"/>
  <c r="M10" i="8" s="1"/>
  <c r="M9" i="8"/>
  <c r="Q5" i="2"/>
  <c r="Q3" i="3"/>
  <c r="P4" i="8"/>
  <c r="Q3" i="9"/>
  <c r="R3" i="6"/>
  <c r="P73" i="2"/>
  <c r="O75" i="2"/>
  <c r="O19" i="2"/>
  <c r="T57" i="4"/>
  <c r="S26" i="2"/>
  <c r="M120" i="4"/>
  <c r="T37" i="2"/>
  <c r="U7" i="4"/>
  <c r="M22" i="2"/>
  <c r="M18" i="2"/>
  <c r="N20" i="2"/>
  <c r="O16" i="9"/>
  <c r="N77" i="2"/>
  <c r="Q74" i="2" l="1"/>
  <c r="R74" i="2" s="1"/>
  <c r="N54" i="9"/>
  <c r="O77" i="2"/>
  <c r="O72" i="2"/>
  <c r="N18" i="2"/>
  <c r="N22" i="2"/>
  <c r="W94" i="2"/>
  <c r="W7" i="4"/>
  <c r="V36" i="2"/>
  <c r="V80" i="2"/>
  <c r="V25" i="8"/>
  <c r="W80" i="2"/>
  <c r="U25" i="2"/>
  <c r="U81" i="2"/>
  <c r="U26" i="8"/>
  <c r="T26" i="2"/>
  <c r="T82" i="2"/>
  <c r="T27" i="8"/>
  <c r="S83" i="2"/>
  <c r="S28" i="8"/>
  <c r="R28" i="2"/>
  <c r="O29" i="2"/>
  <c r="F26" i="7"/>
  <c r="D26" i="7"/>
  <c r="E26" i="7"/>
  <c r="G26" i="7"/>
  <c r="C27" i="7"/>
  <c r="H25" i="7"/>
  <c r="P84" i="2"/>
  <c r="S15" i="3"/>
  <c r="R19" i="3"/>
  <c r="Q20" i="3"/>
  <c r="P96" i="2"/>
  <c r="O97" i="2"/>
  <c r="P20" i="4"/>
  <c r="O38" i="2"/>
  <c r="O39" i="2" s="1"/>
  <c r="N39" i="2"/>
  <c r="O70" i="4"/>
  <c r="N120" i="4"/>
  <c r="W95" i="2"/>
  <c r="U37" i="2"/>
  <c r="S16" i="2"/>
  <c r="R67" i="2"/>
  <c r="Q6" i="2"/>
  <c r="P9" i="2"/>
  <c r="Q4" i="3"/>
  <c r="Q7" i="3" s="1"/>
  <c r="Q8" i="3" s="1"/>
  <c r="Q9" i="3" s="1"/>
  <c r="R4" i="6"/>
  <c r="R7" i="6" s="1"/>
  <c r="R8" i="6" s="1"/>
  <c r="R9" i="6" s="1"/>
  <c r="P5" i="8"/>
  <c r="Q4" i="9"/>
  <c r="Q7" i="9" s="1"/>
  <c r="Q8" i="9" s="1"/>
  <c r="Q9" i="9" s="1"/>
  <c r="O10" i="2"/>
  <c r="O8" i="8"/>
  <c r="N11" i="2"/>
  <c r="N10" i="8" s="1"/>
  <c r="N9" i="8"/>
  <c r="R5" i="2"/>
  <c r="R3" i="3"/>
  <c r="S3" i="6"/>
  <c r="Q4" i="8"/>
  <c r="R3" i="9"/>
  <c r="Q73" i="2"/>
  <c r="P75" i="2"/>
  <c r="P19" i="2"/>
  <c r="P72" i="2"/>
  <c r="T107" i="4"/>
  <c r="N87" i="2"/>
  <c r="O46" i="9"/>
  <c r="O24" i="9"/>
  <c r="N90" i="2" s="1"/>
  <c r="O22" i="9"/>
  <c r="V7" i="4"/>
  <c r="O20" i="2"/>
  <c r="P16" i="9"/>
  <c r="P35" i="9"/>
  <c r="U57" i="4"/>
  <c r="U107" i="4" s="1"/>
  <c r="F18" i="4"/>
  <c r="Q18" i="4"/>
  <c r="H18" i="4"/>
  <c r="D18" i="4"/>
  <c r="G18" i="4"/>
  <c r="U18" i="4"/>
  <c r="V18" i="4"/>
  <c r="P18" i="4"/>
  <c r="L18" i="4"/>
  <c r="O18" i="4"/>
  <c r="T18" i="4" l="1"/>
  <c r="P22" i="9"/>
  <c r="O88" i="2" s="1"/>
  <c r="P24" i="9"/>
  <c r="O90" i="2" s="1"/>
  <c r="P46" i="9"/>
  <c r="O54" i="9"/>
  <c r="W57" i="4"/>
  <c r="W107" i="4" s="1"/>
  <c r="K18" i="4"/>
  <c r="M18" i="4"/>
  <c r="O22" i="2"/>
  <c r="O18" i="2"/>
  <c r="G12" i="1"/>
  <c r="W36" i="2"/>
  <c r="V25" i="2"/>
  <c r="V81" i="2"/>
  <c r="V26" i="8"/>
  <c r="U82" i="2"/>
  <c r="U27" i="8"/>
  <c r="T27" i="2"/>
  <c r="T83" i="2"/>
  <c r="T28" i="8"/>
  <c r="S28" i="2"/>
  <c r="H26" i="7"/>
  <c r="Q84" i="2"/>
  <c r="E27" i="7"/>
  <c r="G27" i="7"/>
  <c r="C28" i="7"/>
  <c r="D27" i="7"/>
  <c r="F27" i="7"/>
  <c r="P29" i="2"/>
  <c r="T15" i="3"/>
  <c r="S19" i="3"/>
  <c r="R20" i="3"/>
  <c r="Q96" i="2"/>
  <c r="P97" i="2"/>
  <c r="Q20" i="4"/>
  <c r="P38" i="2"/>
  <c r="P70" i="4"/>
  <c r="O120" i="4"/>
  <c r="W37" i="2"/>
  <c r="T16" i="2"/>
  <c r="S67" i="2"/>
  <c r="S74" i="2" s="1"/>
  <c r="R6" i="2"/>
  <c r="Q9" i="2"/>
  <c r="R4" i="3"/>
  <c r="R7" i="3" s="1"/>
  <c r="R8" i="3" s="1"/>
  <c r="R9" i="3" s="1"/>
  <c r="Q5" i="8"/>
  <c r="S4" i="6"/>
  <c r="S7" i="6" s="1"/>
  <c r="S8" i="6" s="1"/>
  <c r="S9" i="6" s="1"/>
  <c r="R4" i="9"/>
  <c r="R7" i="9" s="1"/>
  <c r="R8" i="9" s="1"/>
  <c r="R9" i="9" s="1"/>
  <c r="P10" i="2"/>
  <c r="P8" i="8"/>
  <c r="O11" i="2"/>
  <c r="O10" i="8" s="1"/>
  <c r="O9" i="8"/>
  <c r="S5" i="2"/>
  <c r="S3" i="3"/>
  <c r="R4" i="8"/>
  <c r="S3" i="9"/>
  <c r="T3" i="6"/>
  <c r="R73" i="2"/>
  <c r="Q75" i="2"/>
  <c r="Q19" i="2"/>
  <c r="P20" i="2"/>
  <c r="N88" i="2"/>
  <c r="R18" i="4"/>
  <c r="S18" i="4"/>
  <c r="J18" i="4"/>
  <c r="V57" i="4"/>
  <c r="P54" i="9"/>
  <c r="O87" i="2"/>
  <c r="U26" i="2"/>
  <c r="Q16" i="9"/>
  <c r="P77" i="2"/>
  <c r="Q35" i="9"/>
  <c r="N18" i="4"/>
  <c r="E18" i="4"/>
  <c r="W18" i="4"/>
  <c r="X7" i="4"/>
  <c r="I18" i="4"/>
  <c r="Q77" i="2" l="1"/>
  <c r="Q72" i="2"/>
  <c r="P18" i="2"/>
  <c r="P22" i="2"/>
  <c r="X18" i="4"/>
  <c r="W25" i="2"/>
  <c r="W81" i="2"/>
  <c r="V26" i="2"/>
  <c r="V82" i="2"/>
  <c r="V27" i="8"/>
  <c r="U27" i="2"/>
  <c r="U83" i="2"/>
  <c r="U28" i="8"/>
  <c r="T28" i="2"/>
  <c r="Q29" i="2"/>
  <c r="F28" i="7"/>
  <c r="D28" i="7"/>
  <c r="E28" i="7"/>
  <c r="G28" i="7"/>
  <c r="C29" i="7"/>
  <c r="H27" i="7"/>
  <c r="R84" i="2"/>
  <c r="U15" i="3"/>
  <c r="T19" i="3"/>
  <c r="S20" i="3"/>
  <c r="R96" i="2"/>
  <c r="Q97" i="2"/>
  <c r="Q38" i="2"/>
  <c r="Q39" i="2" s="1"/>
  <c r="R20" i="4"/>
  <c r="Q70" i="4"/>
  <c r="P39" i="2"/>
  <c r="P120" i="4"/>
  <c r="U16" i="2"/>
  <c r="T67" i="2"/>
  <c r="T74" i="2"/>
  <c r="S6" i="2"/>
  <c r="R9" i="2"/>
  <c r="S4" i="3"/>
  <c r="S7" i="3" s="1"/>
  <c r="S8" i="3" s="1"/>
  <c r="S9" i="3" s="1"/>
  <c r="R5" i="8"/>
  <c r="S4" i="9"/>
  <c r="S7" i="9" s="1"/>
  <c r="S8" i="9" s="1"/>
  <c r="S9" i="9" s="1"/>
  <c r="T4" i="6"/>
  <c r="T7" i="6" s="1"/>
  <c r="T8" i="6" s="1"/>
  <c r="T9" i="6" s="1"/>
  <c r="Q10" i="2"/>
  <c r="Q8" i="8"/>
  <c r="P11" i="2"/>
  <c r="P10" i="8" s="1"/>
  <c r="P9" i="8"/>
  <c r="T5" i="2"/>
  <c r="T3" i="3"/>
  <c r="S4" i="8"/>
  <c r="U3" i="6"/>
  <c r="T3" i="9"/>
  <c r="S73" i="2"/>
  <c r="R75" i="2"/>
  <c r="R19" i="2"/>
  <c r="R22" i="9"/>
  <c r="Q88" i="2" s="1"/>
  <c r="R24" i="9"/>
  <c r="Q90" i="2" s="1"/>
  <c r="R46" i="9"/>
  <c r="N68" i="4"/>
  <c r="I68" i="4"/>
  <c r="G68" i="4"/>
  <c r="M68" i="4"/>
  <c r="F68" i="4"/>
  <c r="D68" i="4"/>
  <c r="S68" i="4"/>
  <c r="X57" i="4"/>
  <c r="K68" i="4"/>
  <c r="U68" i="4"/>
  <c r="P68" i="4"/>
  <c r="E68" i="4"/>
  <c r="R68" i="4"/>
  <c r="L68" i="4"/>
  <c r="Q68" i="4"/>
  <c r="J68" i="4"/>
  <c r="W68" i="4"/>
  <c r="V68" i="4"/>
  <c r="T68" i="4"/>
  <c r="O68" i="4"/>
  <c r="H68" i="4"/>
  <c r="V107" i="4"/>
  <c r="P87" i="2"/>
  <c r="Q46" i="9"/>
  <c r="Q24" i="9"/>
  <c r="Q22" i="9"/>
  <c r="Q20" i="2"/>
  <c r="R16" i="9"/>
  <c r="R35" i="9"/>
  <c r="Q22" i="2" l="1"/>
  <c r="Q18" i="2"/>
  <c r="P90" i="2"/>
  <c r="Q54" i="9"/>
  <c r="W82" i="2"/>
  <c r="V27" i="2"/>
  <c r="V83" i="2"/>
  <c r="V28" i="8"/>
  <c r="U28" i="2"/>
  <c r="S84" i="2"/>
  <c r="H28" i="7"/>
  <c r="F29" i="7"/>
  <c r="D29" i="7"/>
  <c r="E29" i="7"/>
  <c r="G29" i="7"/>
  <c r="C30" i="7"/>
  <c r="R29" i="2"/>
  <c r="V15" i="3"/>
  <c r="U19" i="3"/>
  <c r="T20" i="3"/>
  <c r="S96" i="2"/>
  <c r="R97" i="2"/>
  <c r="S20" i="4"/>
  <c r="R38" i="2"/>
  <c r="R70" i="4"/>
  <c r="Q120" i="4"/>
  <c r="V16" i="2"/>
  <c r="V67" i="2" s="1"/>
  <c r="U67" i="2"/>
  <c r="U74" i="2" s="1"/>
  <c r="T6" i="2"/>
  <c r="S9" i="2"/>
  <c r="T4" i="3"/>
  <c r="T7" i="3" s="1"/>
  <c r="T8" i="3" s="1"/>
  <c r="T9" i="3" s="1"/>
  <c r="U4" i="6"/>
  <c r="U7" i="6" s="1"/>
  <c r="U8" i="6" s="1"/>
  <c r="U9" i="6" s="1"/>
  <c r="S5" i="8"/>
  <c r="T4" i="9"/>
  <c r="T7" i="9" s="1"/>
  <c r="T8" i="9" s="1"/>
  <c r="T9" i="9" s="1"/>
  <c r="R10" i="2"/>
  <c r="R8" i="8"/>
  <c r="Q11" i="2"/>
  <c r="Q10" i="8" s="1"/>
  <c r="Q9" i="8"/>
  <c r="U5" i="2"/>
  <c r="U3" i="3"/>
  <c r="V3" i="6"/>
  <c r="T4" i="8"/>
  <c r="U3" i="9"/>
  <c r="T73" i="2"/>
  <c r="S75" i="2"/>
  <c r="S19" i="2"/>
  <c r="R20" i="2"/>
  <c r="R22" i="2"/>
  <c r="R18" i="2"/>
  <c r="X68" i="4"/>
  <c r="K118" i="4"/>
  <c r="R118" i="4"/>
  <c r="W118" i="4"/>
  <c r="N118" i="4"/>
  <c r="O118" i="4"/>
  <c r="Q118" i="4"/>
  <c r="L118" i="4"/>
  <c r="G118" i="4"/>
  <c r="U118" i="4"/>
  <c r="X107" i="4"/>
  <c r="E118" i="4"/>
  <c r="J118" i="4"/>
  <c r="D118" i="4"/>
  <c r="S118" i="4"/>
  <c r="H118" i="4"/>
  <c r="M118" i="4"/>
  <c r="P118" i="4"/>
  <c r="T118" i="4"/>
  <c r="I118" i="4"/>
  <c r="V118" i="4"/>
  <c r="F118" i="4"/>
  <c r="P88" i="2"/>
  <c r="R54" i="9"/>
  <c r="Q87" i="2"/>
  <c r="W26" i="2"/>
  <c r="S16" i="9"/>
  <c r="S35" i="9"/>
  <c r="R72" i="2"/>
  <c r="R77" i="2"/>
  <c r="S77" i="2" l="1"/>
  <c r="S72" i="2"/>
  <c r="W83" i="2"/>
  <c r="V28" i="2"/>
  <c r="G14" i="1" s="1"/>
  <c r="W28" i="2"/>
  <c r="S29" i="2"/>
  <c r="H29" i="7"/>
  <c r="T84" i="2"/>
  <c r="E30" i="7"/>
  <c r="G30" i="7"/>
  <c r="C31" i="7"/>
  <c r="D30" i="7"/>
  <c r="F30" i="7"/>
  <c r="W15" i="3"/>
  <c r="W19" i="3" s="1"/>
  <c r="V19" i="3"/>
  <c r="U20" i="3"/>
  <c r="T96" i="2"/>
  <c r="S97" i="2"/>
  <c r="T20" i="4"/>
  <c r="S38" i="2"/>
  <c r="S39" i="2" s="1"/>
  <c r="S70" i="4"/>
  <c r="R39" i="2"/>
  <c r="R120" i="4"/>
  <c r="V74" i="2"/>
  <c r="W74" i="2" s="1"/>
  <c r="U6" i="2"/>
  <c r="T9" i="2"/>
  <c r="U4" i="3"/>
  <c r="U7" i="3" s="1"/>
  <c r="U8" i="3" s="1"/>
  <c r="U9" i="3" s="1"/>
  <c r="V4" i="6"/>
  <c r="V7" i="6" s="1"/>
  <c r="V8" i="6" s="1"/>
  <c r="V9" i="6" s="1"/>
  <c r="T5" i="8"/>
  <c r="U4" i="9"/>
  <c r="U7" i="9" s="1"/>
  <c r="U8" i="9" s="1"/>
  <c r="U9" i="9" s="1"/>
  <c r="S10" i="2"/>
  <c r="S8" i="8"/>
  <c r="R11" i="2"/>
  <c r="R10" i="8" s="1"/>
  <c r="R9" i="8"/>
  <c r="V5" i="2"/>
  <c r="V3" i="3"/>
  <c r="U4" i="8"/>
  <c r="V3" i="9"/>
  <c r="W3" i="6"/>
  <c r="U73" i="2"/>
  <c r="T75" i="2"/>
  <c r="T77" i="2"/>
  <c r="T19" i="2"/>
  <c r="T72" i="2"/>
  <c r="X118" i="4"/>
  <c r="R87" i="2"/>
  <c r="S46" i="9"/>
  <c r="S24" i="9"/>
  <c r="R90" i="2" s="1"/>
  <c r="S22" i="9"/>
  <c r="W27" i="2"/>
  <c r="S20" i="2"/>
  <c r="T16" i="9"/>
  <c r="T35" i="9"/>
  <c r="S54" i="9" l="1"/>
  <c r="T22" i="9"/>
  <c r="S88" i="2" s="1"/>
  <c r="T24" i="9"/>
  <c r="S90" i="2" s="1"/>
  <c r="T46" i="9"/>
  <c r="S18" i="2"/>
  <c r="S22" i="2"/>
  <c r="F51" i="1"/>
  <c r="F52" i="1" s="1"/>
  <c r="T29" i="2"/>
  <c r="F31" i="7"/>
  <c r="D31" i="7"/>
  <c r="E31" i="7"/>
  <c r="G31" i="7"/>
  <c r="C32" i="7"/>
  <c r="H30" i="7"/>
  <c r="U84" i="2"/>
  <c r="W20" i="3"/>
  <c r="V96" i="2"/>
  <c r="X19" i="3"/>
  <c r="V20" i="3"/>
  <c r="U96" i="2"/>
  <c r="T97" i="2"/>
  <c r="U20" i="4"/>
  <c r="T38" i="2"/>
  <c r="T70" i="4"/>
  <c r="S120" i="4"/>
  <c r="V6" i="2"/>
  <c r="U9" i="2"/>
  <c r="V4" i="3"/>
  <c r="V7" i="3" s="1"/>
  <c r="V8" i="3" s="1"/>
  <c r="V9" i="3" s="1"/>
  <c r="U5" i="8"/>
  <c r="W4" i="6"/>
  <c r="W7" i="6" s="1"/>
  <c r="W8" i="6" s="1"/>
  <c r="W9" i="6" s="1"/>
  <c r="V4" i="9"/>
  <c r="V7" i="9" s="1"/>
  <c r="V8" i="9" s="1"/>
  <c r="V9" i="9" s="1"/>
  <c r="T10" i="2"/>
  <c r="T8" i="8"/>
  <c r="S11" i="2"/>
  <c r="S10" i="8" s="1"/>
  <c r="S9" i="8"/>
  <c r="W3" i="3"/>
  <c r="V4" i="8"/>
  <c r="X3" i="6"/>
  <c r="W3" i="9"/>
  <c r="V73" i="2"/>
  <c r="W73" i="2" s="1"/>
  <c r="U75" i="2"/>
  <c r="U19" i="2"/>
  <c r="T20" i="2"/>
  <c r="U22" i="9"/>
  <c r="T88" i="2" s="1"/>
  <c r="U24" i="9"/>
  <c r="T90" i="2" s="1"/>
  <c r="U46" i="9"/>
  <c r="R88" i="2"/>
  <c r="T54" i="9"/>
  <c r="S87" i="2"/>
  <c r="U35" i="9"/>
  <c r="U16" i="9"/>
  <c r="U77" i="2" l="1"/>
  <c r="U72" i="2"/>
  <c r="T22" i="2"/>
  <c r="T18" i="2"/>
  <c r="X20" i="3"/>
  <c r="V84" i="2"/>
  <c r="V29" i="2" s="1"/>
  <c r="H31" i="7"/>
  <c r="F32" i="7"/>
  <c r="D32" i="7"/>
  <c r="H32" i="7" s="1"/>
  <c r="E32" i="7"/>
  <c r="G32" i="7"/>
  <c r="C33" i="7"/>
  <c r="U29" i="2"/>
  <c r="V97" i="2"/>
  <c r="V38" i="2"/>
  <c r="W20" i="4"/>
  <c r="W96" i="2"/>
  <c r="U97" i="2"/>
  <c r="V20" i="4"/>
  <c r="U38" i="2"/>
  <c r="U39" i="2" s="1"/>
  <c r="L45" i="4"/>
  <c r="L48" i="4" s="1"/>
  <c r="U70" i="4"/>
  <c r="W38" i="2"/>
  <c r="T39" i="2"/>
  <c r="T120" i="4"/>
  <c r="V9" i="2"/>
  <c r="W4" i="3"/>
  <c r="W7" i="3" s="1"/>
  <c r="W8" i="3" s="1"/>
  <c r="W9" i="3" s="1"/>
  <c r="V5" i="8"/>
  <c r="W4" i="9"/>
  <c r="W7" i="9" s="1"/>
  <c r="W8" i="9" s="1"/>
  <c r="W9" i="9" s="1"/>
  <c r="X4" i="6"/>
  <c r="X7" i="6" s="1"/>
  <c r="X8" i="6" s="1"/>
  <c r="X9" i="6" s="1"/>
  <c r="U10" i="2"/>
  <c r="U8" i="8"/>
  <c r="T11" i="2"/>
  <c r="T10" i="8" s="1"/>
  <c r="T9" i="8"/>
  <c r="V75" i="2"/>
  <c r="V77" i="2"/>
  <c r="V19" i="2"/>
  <c r="V72" i="2"/>
  <c r="W19" i="2"/>
  <c r="U54" i="9"/>
  <c r="T87" i="2"/>
  <c r="U20" i="2"/>
  <c r="V16" i="9"/>
  <c r="V35" i="9"/>
  <c r="W72" i="2" l="1"/>
  <c r="V46" i="9"/>
  <c r="V22" i="9"/>
  <c r="V24" i="9"/>
  <c r="U90" i="2" s="1"/>
  <c r="J45" i="4"/>
  <c r="J48" i="4" s="1"/>
  <c r="E45" i="4"/>
  <c r="E48" i="4" s="1"/>
  <c r="F45" i="4"/>
  <c r="F48" i="4" s="1"/>
  <c r="T45" i="4"/>
  <c r="T48" i="4" s="1"/>
  <c r="U22" i="2"/>
  <c r="U18" i="2"/>
  <c r="W70" i="4"/>
  <c r="H45" i="4"/>
  <c r="H48" i="4" s="1"/>
  <c r="U45" i="4"/>
  <c r="U48" i="4" s="1"/>
  <c r="G45" i="4"/>
  <c r="G48" i="4" s="1"/>
  <c r="W16" i="9"/>
  <c r="W35" i="9"/>
  <c r="X35" i="9" s="1"/>
  <c r="E33" i="7"/>
  <c r="G33" i="7"/>
  <c r="D33" i="7"/>
  <c r="F33" i="7"/>
  <c r="C34" i="7"/>
  <c r="V39" i="2"/>
  <c r="W39" i="2" s="1"/>
  <c r="G13" i="1"/>
  <c r="W97" i="2"/>
  <c r="N45" i="4"/>
  <c r="N48" i="4" s="1"/>
  <c r="O45" i="4"/>
  <c r="O48" i="4" s="1"/>
  <c r="V70" i="4"/>
  <c r="F95" i="4"/>
  <c r="F98" i="4" s="1"/>
  <c r="H95" i="4"/>
  <c r="H98" i="4" s="1"/>
  <c r="U95" i="4"/>
  <c r="U98" i="4" s="1"/>
  <c r="L95" i="4"/>
  <c r="L98" i="4" s="1"/>
  <c r="P95" i="4"/>
  <c r="P98" i="4" s="1"/>
  <c r="S95" i="4"/>
  <c r="S98" i="4" s="1"/>
  <c r="W95" i="4"/>
  <c r="W98" i="4" s="1"/>
  <c r="U120" i="4"/>
  <c r="V10" i="2"/>
  <c r="V8" i="8"/>
  <c r="U11" i="2"/>
  <c r="U10" i="8" s="1"/>
  <c r="U9" i="8"/>
  <c r="W75" i="2"/>
  <c r="V20" i="2"/>
  <c r="W22" i="9"/>
  <c r="W24" i="9"/>
  <c r="V90" i="2" s="1"/>
  <c r="W46" i="9"/>
  <c r="V22" i="2"/>
  <c r="V18" i="2"/>
  <c r="U87" i="2"/>
  <c r="D45" i="4"/>
  <c r="P45" i="4"/>
  <c r="P48" i="4" s="1"/>
  <c r="R45" i="4"/>
  <c r="R48" i="4" s="1"/>
  <c r="M45" i="4"/>
  <c r="M48" i="4" s="1"/>
  <c r="W45" i="4"/>
  <c r="W48" i="4" s="1"/>
  <c r="X20" i="4"/>
  <c r="S45" i="4"/>
  <c r="S48" i="4" s="1"/>
  <c r="V45" i="4"/>
  <c r="V48" i="4" s="1"/>
  <c r="K45" i="4"/>
  <c r="K48" i="4" s="1"/>
  <c r="I45" i="4"/>
  <c r="I48" i="4" s="1"/>
  <c r="Q45" i="4"/>
  <c r="Q48" i="4" s="1"/>
  <c r="X22" i="9" l="1"/>
  <c r="X46" i="9"/>
  <c r="U88" i="2"/>
  <c r="V54" i="9"/>
  <c r="W18" i="2"/>
  <c r="W120" i="4"/>
  <c r="X70" i="4"/>
  <c r="J95" i="4"/>
  <c r="J98" i="4" s="1"/>
  <c r="X16" i="9"/>
  <c r="V87" i="2"/>
  <c r="W87" i="2" s="1"/>
  <c r="M95" i="4"/>
  <c r="M98" i="4" s="1"/>
  <c r="M48" i="9" s="1"/>
  <c r="E95" i="4"/>
  <c r="E98" i="4" s="1"/>
  <c r="E48" i="9" s="1"/>
  <c r="G95" i="4"/>
  <c r="G98" i="4" s="1"/>
  <c r="G48" i="9" s="1"/>
  <c r="Q95" i="4"/>
  <c r="Q98" i="4" s="1"/>
  <c r="Q48" i="9" s="1"/>
  <c r="E34" i="7"/>
  <c r="G34" i="7"/>
  <c r="D34" i="7"/>
  <c r="F34" i="7"/>
  <c r="C35" i="7"/>
  <c r="F50" i="1"/>
  <c r="G24" i="1"/>
  <c r="D20" i="9"/>
  <c r="D95" i="4"/>
  <c r="V95" i="4"/>
  <c r="V98" i="4" s="1"/>
  <c r="K95" i="4"/>
  <c r="K98" i="4" s="1"/>
  <c r="V120" i="4"/>
  <c r="J48" i="9"/>
  <c r="F48" i="9"/>
  <c r="H48" i="9"/>
  <c r="U48" i="9"/>
  <c r="L48" i="9"/>
  <c r="P48" i="9"/>
  <c r="S48" i="9"/>
  <c r="W48" i="9"/>
  <c r="V11" i="2"/>
  <c r="V10" i="8" s="1"/>
  <c r="V9" i="8"/>
  <c r="W20" i="2"/>
  <c r="L12" i="1"/>
  <c r="X45" i="4"/>
  <c r="D48" i="4"/>
  <c r="R95" i="4"/>
  <c r="R98" i="4" s="1"/>
  <c r="T95" i="4"/>
  <c r="T98" i="4" s="1"/>
  <c r="I95" i="4"/>
  <c r="I98" i="4" s="1"/>
  <c r="O95" i="4"/>
  <c r="O98" i="4" s="1"/>
  <c r="N95" i="4"/>
  <c r="N98" i="4" s="1"/>
  <c r="W145" i="4"/>
  <c r="W148" i="4" s="1"/>
  <c r="H145" i="4"/>
  <c r="H148" i="4" s="1"/>
  <c r="P145" i="4"/>
  <c r="P148" i="4" s="1"/>
  <c r="O145" i="4"/>
  <c r="O148" i="4" s="1"/>
  <c r="F145" i="4"/>
  <c r="F148" i="4" s="1"/>
  <c r="V88" i="2"/>
  <c r="W54" i="9"/>
  <c r="W88" i="2" l="1"/>
  <c r="K145" i="4"/>
  <c r="K148" i="4" s="1"/>
  <c r="V145" i="4"/>
  <c r="V148" i="4" s="1"/>
  <c r="J145" i="4"/>
  <c r="J148" i="4" s="1"/>
  <c r="E35" i="7"/>
  <c r="G35" i="7"/>
  <c r="D35" i="7"/>
  <c r="F35" i="7"/>
  <c r="C36" i="7"/>
  <c r="F56" i="1"/>
  <c r="F55" i="1"/>
  <c r="C116" i="2"/>
  <c r="C76" i="2" s="1"/>
  <c r="D2" i="7"/>
  <c r="D9" i="7"/>
  <c r="E20" i="9"/>
  <c r="C89" i="2"/>
  <c r="D98" i="4"/>
  <c r="X95" i="4"/>
  <c r="V48" i="9"/>
  <c r="K48" i="9"/>
  <c r="N145" i="4"/>
  <c r="N148" i="4" s="1"/>
  <c r="D145" i="4"/>
  <c r="S145" i="4"/>
  <c r="S148" i="4" s="1"/>
  <c r="U145" i="4"/>
  <c r="U148" i="4" s="1"/>
  <c r="X120" i="4"/>
  <c r="Q145" i="4"/>
  <c r="Q148" i="4" s="1"/>
  <c r="G145" i="4"/>
  <c r="G148" i="4" s="1"/>
  <c r="E145" i="4"/>
  <c r="E148" i="4" s="1"/>
  <c r="I145" i="4"/>
  <c r="I148" i="4" s="1"/>
  <c r="T145" i="4"/>
  <c r="T148" i="4" s="1"/>
  <c r="D50" i="4"/>
  <c r="E50" i="4" s="1"/>
  <c r="F50" i="4" s="1"/>
  <c r="G50" i="4" s="1"/>
  <c r="H50" i="4" s="1"/>
  <c r="I50" i="4" s="1"/>
  <c r="J50" i="4" s="1"/>
  <c r="K50" i="4" s="1"/>
  <c r="L50" i="4" s="1"/>
  <c r="M50" i="4" s="1"/>
  <c r="N50" i="4" s="1"/>
  <c r="O50" i="4" s="1"/>
  <c r="P50" i="4" s="1"/>
  <c r="Q50" i="4" s="1"/>
  <c r="R50" i="4" s="1"/>
  <c r="S50" i="4" s="1"/>
  <c r="T50" i="4" s="1"/>
  <c r="U50" i="4" s="1"/>
  <c r="V50" i="4" s="1"/>
  <c r="W50" i="4" s="1"/>
  <c r="X48" i="4"/>
  <c r="R48" i="9"/>
  <c r="T48" i="9"/>
  <c r="I48" i="9"/>
  <c r="O48" i="9"/>
  <c r="N48" i="9"/>
  <c r="R145" i="4"/>
  <c r="R148" i="4" s="1"/>
  <c r="L145" i="4"/>
  <c r="L148" i="4" s="1"/>
  <c r="M145" i="4"/>
  <c r="M148" i="4" s="1"/>
  <c r="E36" i="7" l="1"/>
  <c r="G36" i="7"/>
  <c r="D36" i="7"/>
  <c r="F36" i="7"/>
  <c r="C37" i="7"/>
  <c r="V99" i="2"/>
  <c r="Q99" i="2"/>
  <c r="R99" i="2"/>
  <c r="T99" i="2"/>
  <c r="U99" i="2"/>
  <c r="H99" i="2"/>
  <c r="S99" i="2"/>
  <c r="O99" i="2"/>
  <c r="I99" i="2"/>
  <c r="J99" i="2"/>
  <c r="K99" i="2"/>
  <c r="L99" i="2"/>
  <c r="M99" i="2"/>
  <c r="N99" i="2"/>
  <c r="P99" i="2"/>
  <c r="G56" i="1"/>
  <c r="G99" i="2"/>
  <c r="F99" i="2"/>
  <c r="E99" i="2"/>
  <c r="D99" i="2"/>
  <c r="C99" i="2"/>
  <c r="G55" i="1"/>
  <c r="W76" i="2"/>
  <c r="W77" i="2" s="1"/>
  <c r="C77" i="2"/>
  <c r="C21" i="2"/>
  <c r="D18" i="7"/>
  <c r="D17" i="7"/>
  <c r="D16" i="7"/>
  <c r="D15" i="7"/>
  <c r="D14" i="7"/>
  <c r="D13" i="7"/>
  <c r="G3" i="7"/>
  <c r="G12" i="7"/>
  <c r="E54" i="9"/>
  <c r="F20" i="9"/>
  <c r="D89" i="2"/>
  <c r="D48" i="9"/>
  <c r="X48" i="9" s="1"/>
  <c r="X98" i="4"/>
  <c r="D100" i="4"/>
  <c r="E100" i="4" s="1"/>
  <c r="F100" i="4" s="1"/>
  <c r="G100" i="4" s="1"/>
  <c r="H100" i="4" s="1"/>
  <c r="I100" i="4" s="1"/>
  <c r="J100" i="4" s="1"/>
  <c r="K100" i="4" s="1"/>
  <c r="L100" i="4" s="1"/>
  <c r="M100" i="4" s="1"/>
  <c r="N100" i="4" s="1"/>
  <c r="O100" i="4" s="1"/>
  <c r="P100" i="4" s="1"/>
  <c r="Q100" i="4" s="1"/>
  <c r="R100" i="4" s="1"/>
  <c r="S100" i="4" s="1"/>
  <c r="T100" i="4" s="1"/>
  <c r="U100" i="4" s="1"/>
  <c r="V100" i="4" s="1"/>
  <c r="W100" i="4" s="1"/>
  <c r="D148" i="4"/>
  <c r="X145" i="4"/>
  <c r="E37" i="7" l="1"/>
  <c r="G37" i="7"/>
  <c r="D37" i="7"/>
  <c r="F37" i="7"/>
  <c r="C38" i="7"/>
  <c r="W33" i="9"/>
  <c r="W37" i="9" s="1"/>
  <c r="V41" i="2"/>
  <c r="W50" i="9" s="1"/>
  <c r="W56" i="9" s="1"/>
  <c r="R33" i="9"/>
  <c r="R37" i="9" s="1"/>
  <c r="Q41" i="2"/>
  <c r="R50" i="9" s="1"/>
  <c r="R56" i="9" s="1"/>
  <c r="S33" i="9"/>
  <c r="S37" i="9" s="1"/>
  <c r="R41" i="2"/>
  <c r="S50" i="9" s="1"/>
  <c r="S56" i="9" s="1"/>
  <c r="U33" i="9"/>
  <c r="U37" i="9" s="1"/>
  <c r="T41" i="2"/>
  <c r="U50" i="9" s="1"/>
  <c r="U56" i="9" s="1"/>
  <c r="V33" i="9"/>
  <c r="V37" i="9" s="1"/>
  <c r="U41" i="2"/>
  <c r="V50" i="9" s="1"/>
  <c r="V56" i="9" s="1"/>
  <c r="I33" i="9"/>
  <c r="I37" i="9" s="1"/>
  <c r="H41" i="2"/>
  <c r="I50" i="9" s="1"/>
  <c r="I56" i="9" s="1"/>
  <c r="T33" i="9"/>
  <c r="T37" i="9" s="1"/>
  <c r="S41" i="2"/>
  <c r="T50" i="9" s="1"/>
  <c r="T56" i="9" s="1"/>
  <c r="P33" i="9"/>
  <c r="P37" i="9" s="1"/>
  <c r="O41" i="2"/>
  <c r="P50" i="9" s="1"/>
  <c r="P56" i="9" s="1"/>
  <c r="J33" i="9"/>
  <c r="J37" i="9" s="1"/>
  <c r="I41" i="2"/>
  <c r="J50" i="9" s="1"/>
  <c r="J56" i="9" s="1"/>
  <c r="K33" i="9"/>
  <c r="K37" i="9" s="1"/>
  <c r="J41" i="2"/>
  <c r="K50" i="9" s="1"/>
  <c r="K56" i="9" s="1"/>
  <c r="L33" i="9"/>
  <c r="L37" i="9" s="1"/>
  <c r="K41" i="2"/>
  <c r="L50" i="9" s="1"/>
  <c r="L56" i="9" s="1"/>
  <c r="M33" i="9"/>
  <c r="M37" i="9" s="1"/>
  <c r="L41" i="2"/>
  <c r="M50" i="9" s="1"/>
  <c r="M56" i="9" s="1"/>
  <c r="N33" i="9"/>
  <c r="N37" i="9" s="1"/>
  <c r="M41" i="2"/>
  <c r="N50" i="9" s="1"/>
  <c r="N56" i="9" s="1"/>
  <c r="O33" i="9"/>
  <c r="O37" i="9" s="1"/>
  <c r="N41" i="2"/>
  <c r="O50" i="9" s="1"/>
  <c r="O56" i="9" s="1"/>
  <c r="Q33" i="9"/>
  <c r="Q37" i="9" s="1"/>
  <c r="P41" i="2"/>
  <c r="Q50" i="9" s="1"/>
  <c r="Q56" i="9" s="1"/>
  <c r="H33" i="9"/>
  <c r="H37" i="9" s="1"/>
  <c r="G41" i="2"/>
  <c r="H50" i="9" s="1"/>
  <c r="G33" i="9"/>
  <c r="G37" i="9" s="1"/>
  <c r="F41" i="2"/>
  <c r="G50" i="9" s="1"/>
  <c r="F33" i="9"/>
  <c r="F37" i="9" s="1"/>
  <c r="E41" i="2"/>
  <c r="F50" i="9" s="1"/>
  <c r="E33" i="9"/>
  <c r="E37" i="9" s="1"/>
  <c r="D41" i="2"/>
  <c r="E50" i="9" s="1"/>
  <c r="E56" i="9" s="1"/>
  <c r="D33" i="9"/>
  <c r="C41" i="2"/>
  <c r="W99" i="2"/>
  <c r="D24" i="9"/>
  <c r="C22" i="2"/>
  <c r="W21" i="2"/>
  <c r="W22" i="2" s="1"/>
  <c r="L13" i="1"/>
  <c r="I84" i="2"/>
  <c r="H84" i="2"/>
  <c r="G84" i="2"/>
  <c r="F84" i="2"/>
  <c r="E84" i="2"/>
  <c r="D84" i="2"/>
  <c r="G27" i="1"/>
  <c r="E13" i="7"/>
  <c r="F13" i="7" s="1"/>
  <c r="G13" i="7" s="1"/>
  <c r="F54" i="9"/>
  <c r="G20" i="9"/>
  <c r="E89" i="2"/>
  <c r="D150" i="4"/>
  <c r="E150" i="4" s="1"/>
  <c r="F150" i="4" s="1"/>
  <c r="G150" i="4" s="1"/>
  <c r="H150" i="4" s="1"/>
  <c r="I150" i="4" s="1"/>
  <c r="J150" i="4" s="1"/>
  <c r="K150" i="4" s="1"/>
  <c r="L150" i="4" s="1"/>
  <c r="M150" i="4" s="1"/>
  <c r="N150" i="4" s="1"/>
  <c r="O150" i="4" s="1"/>
  <c r="P150" i="4" s="1"/>
  <c r="Q150" i="4" s="1"/>
  <c r="R150" i="4" s="1"/>
  <c r="S150" i="4" s="1"/>
  <c r="T150" i="4" s="1"/>
  <c r="U150" i="4" s="1"/>
  <c r="V150" i="4" s="1"/>
  <c r="W150" i="4" s="1"/>
  <c r="X148" i="4"/>
  <c r="O15" i="1" s="1"/>
  <c r="E38" i="7" l="1"/>
  <c r="G38" i="7"/>
  <c r="D38" i="7"/>
  <c r="F38" i="7"/>
  <c r="C39" i="7"/>
  <c r="W62" i="9"/>
  <c r="W58" i="9"/>
  <c r="R62" i="9"/>
  <c r="R58" i="9"/>
  <c r="S62" i="9"/>
  <c r="S58" i="9"/>
  <c r="U62" i="9"/>
  <c r="U58" i="9"/>
  <c r="V62" i="9"/>
  <c r="V58" i="9"/>
  <c r="I58" i="9"/>
  <c r="T62" i="9"/>
  <c r="T58" i="9"/>
  <c r="P62" i="9"/>
  <c r="P58" i="9"/>
  <c r="J58" i="9"/>
  <c r="K62" i="9"/>
  <c r="K58" i="9"/>
  <c r="L62" i="9"/>
  <c r="L58" i="9"/>
  <c r="M62" i="9"/>
  <c r="M58" i="9"/>
  <c r="N62" i="9"/>
  <c r="N58" i="9"/>
  <c r="O62" i="9"/>
  <c r="O58" i="9"/>
  <c r="Q62" i="9"/>
  <c r="Q58" i="9"/>
  <c r="E58" i="9"/>
  <c r="E60" i="9" s="1"/>
  <c r="E62" i="9" s="1"/>
  <c r="X33" i="9"/>
  <c r="D37" i="9"/>
  <c r="D50" i="9"/>
  <c r="W41" i="2"/>
  <c r="G16" i="1" s="1"/>
  <c r="D54" i="9"/>
  <c r="X24" i="9"/>
  <c r="C90" i="2"/>
  <c r="W90" i="2" s="1"/>
  <c r="L14" i="1"/>
  <c r="I29" i="2"/>
  <c r="H29" i="2"/>
  <c r="G29" i="2"/>
  <c r="F29" i="2"/>
  <c r="E29" i="2"/>
  <c r="W84" i="2"/>
  <c r="D29" i="2"/>
  <c r="E14" i="7"/>
  <c r="H13" i="7"/>
  <c r="G54" i="9"/>
  <c r="G56" i="9" s="1"/>
  <c r="H20" i="9"/>
  <c r="F89" i="2"/>
  <c r="F56" i="9"/>
  <c r="K12" i="1" l="1"/>
  <c r="K13" i="1"/>
  <c r="K14" i="1" s="1"/>
  <c r="E39" i="7"/>
  <c r="G39" i="7"/>
  <c r="D39" i="7"/>
  <c r="F39" i="7"/>
  <c r="C40" i="7"/>
  <c r="D39" i="9"/>
  <c r="X37" i="9"/>
  <c r="X50" i="9"/>
  <c r="D56" i="9"/>
  <c r="G15" i="1"/>
  <c r="W29" i="2"/>
  <c r="H14" i="7"/>
  <c r="F14" i="7"/>
  <c r="G14" i="7" s="1"/>
  <c r="G58" i="9"/>
  <c r="X20" i="9"/>
  <c r="H54" i="9"/>
  <c r="G89" i="2"/>
  <c r="W89" i="2" s="1"/>
  <c r="F58" i="9"/>
  <c r="F60" i="9" s="1"/>
  <c r="F62" i="9" s="1"/>
  <c r="H56" i="9" l="1"/>
  <c r="X54" i="9"/>
  <c r="E40" i="7"/>
  <c r="G40" i="7"/>
  <c r="D40" i="7"/>
  <c r="F40" i="7"/>
  <c r="C41" i="7"/>
  <c r="E39" i="9"/>
  <c r="D41" i="9"/>
  <c r="D62" i="9"/>
  <c r="D58" i="9"/>
  <c r="E15" i="7"/>
  <c r="X56" i="9" l="1"/>
  <c r="H58" i="9"/>
  <c r="X58" i="9" s="1"/>
  <c r="E41" i="7"/>
  <c r="G41" i="7"/>
  <c r="D41" i="7"/>
  <c r="F41" i="7"/>
  <c r="C42" i="7"/>
  <c r="F39" i="9"/>
  <c r="E41" i="9"/>
  <c r="C85" i="2"/>
  <c r="D18" i="9"/>
  <c r="D64" i="9"/>
  <c r="D66" i="9"/>
  <c r="G60" i="9"/>
  <c r="F15" i="7"/>
  <c r="G15" i="7" s="1"/>
  <c r="E16" i="7" s="1"/>
  <c r="H15" i="7"/>
  <c r="E42" i="7" l="1"/>
  <c r="G42" i="7"/>
  <c r="D42" i="7"/>
  <c r="F42" i="7"/>
  <c r="C43" i="7"/>
  <c r="G39" i="9"/>
  <c r="F41" i="9"/>
  <c r="E18" i="9"/>
  <c r="D85" i="2"/>
  <c r="E66" i="9"/>
  <c r="E26" i="9" s="1"/>
  <c r="D86" i="2" s="1"/>
  <c r="E64" i="9"/>
  <c r="D26" i="9"/>
  <c r="D28" i="9" s="1"/>
  <c r="G62" i="9"/>
  <c r="H60" i="9"/>
  <c r="F16" i="7"/>
  <c r="G16" i="7" s="1"/>
  <c r="E17" i="7" s="1"/>
  <c r="H16" i="7"/>
  <c r="E43" i="7" l="1"/>
  <c r="G43" i="7"/>
  <c r="D43" i="7"/>
  <c r="F43" i="7"/>
  <c r="C44" i="7"/>
  <c r="H39" i="9"/>
  <c r="G41" i="9"/>
  <c r="F18" i="9"/>
  <c r="E85" i="2"/>
  <c r="D91" i="2"/>
  <c r="D30" i="2"/>
  <c r="D31" i="2" s="1"/>
  <c r="F66" i="9"/>
  <c r="F64" i="9"/>
  <c r="C86" i="2"/>
  <c r="I60" i="9"/>
  <c r="F17" i="7"/>
  <c r="G17" i="7" s="1"/>
  <c r="H17" i="7"/>
  <c r="E28" i="9"/>
  <c r="H62" i="9"/>
  <c r="G66" i="9" l="1"/>
  <c r="G26" i="9" s="1"/>
  <c r="F86" i="2" s="1"/>
  <c r="G64" i="9"/>
  <c r="E44" i="7"/>
  <c r="G44" i="7"/>
  <c r="D44" i="7"/>
  <c r="F44" i="7"/>
  <c r="C45" i="7"/>
  <c r="I39" i="9"/>
  <c r="H41" i="9"/>
  <c r="G18" i="9"/>
  <c r="F85" i="2"/>
  <c r="D101" i="2"/>
  <c r="D93" i="2"/>
  <c r="D103" i="2" s="1"/>
  <c r="D43" i="2"/>
  <c r="D33" i="2"/>
  <c r="D45" i="2" s="1"/>
  <c r="F26" i="9"/>
  <c r="C30" i="2"/>
  <c r="C91" i="2"/>
  <c r="E18" i="7"/>
  <c r="I62" i="9"/>
  <c r="H64" i="9" l="1"/>
  <c r="H66" i="9"/>
  <c r="H26" i="9" s="1"/>
  <c r="G86" i="2" s="1"/>
  <c r="E45" i="7"/>
  <c r="G45" i="7"/>
  <c r="D45" i="7"/>
  <c r="F45" i="7"/>
  <c r="C46" i="7"/>
  <c r="J39" i="9"/>
  <c r="I41" i="9"/>
  <c r="G85" i="2"/>
  <c r="H18" i="9"/>
  <c r="G28" i="9"/>
  <c r="F91" i="2"/>
  <c r="F30" i="2"/>
  <c r="F31" i="2" s="1"/>
  <c r="F28" i="9"/>
  <c r="E86" i="2"/>
  <c r="C31" i="2"/>
  <c r="C101" i="2"/>
  <c r="C93" i="2"/>
  <c r="J60" i="9"/>
  <c r="F18" i="7"/>
  <c r="G18" i="7" s="1"/>
  <c r="H18" i="7"/>
  <c r="H28" i="9" l="1"/>
  <c r="I64" i="9"/>
  <c r="I66" i="9"/>
  <c r="I26" i="9" s="1"/>
  <c r="E46" i="7"/>
  <c r="G46" i="7"/>
  <c r="D46" i="7"/>
  <c r="F46" i="7"/>
  <c r="C47" i="7"/>
  <c r="K39" i="9"/>
  <c r="J41" i="9"/>
  <c r="I18" i="9"/>
  <c r="H85" i="2"/>
  <c r="G91" i="2"/>
  <c r="G30" i="2"/>
  <c r="G31" i="2" s="1"/>
  <c r="F101" i="2"/>
  <c r="F93" i="2"/>
  <c r="F103" i="2" s="1"/>
  <c r="F43" i="2"/>
  <c r="F33" i="2"/>
  <c r="F45" i="2" s="1"/>
  <c r="E30" i="2"/>
  <c r="E91" i="2"/>
  <c r="C33" i="2"/>
  <c r="C43" i="2"/>
  <c r="C103" i="2"/>
  <c r="X60" i="9"/>
  <c r="J62" i="9"/>
  <c r="E47" i="7" l="1"/>
  <c r="F47" i="7"/>
  <c r="G47" i="7"/>
  <c r="C48" i="7"/>
  <c r="D47" i="7"/>
  <c r="L39" i="9"/>
  <c r="K41" i="9"/>
  <c r="J18" i="9"/>
  <c r="I85" i="2"/>
  <c r="I28" i="9"/>
  <c r="G101" i="2"/>
  <c r="G93" i="2"/>
  <c r="G103" i="2" s="1"/>
  <c r="G43" i="2"/>
  <c r="G33" i="2"/>
  <c r="G45" i="2" s="1"/>
  <c r="E31" i="2"/>
  <c r="E93" i="2"/>
  <c r="E101" i="2"/>
  <c r="C45" i="2"/>
  <c r="C104" i="2"/>
  <c r="X62" i="9"/>
  <c r="J66" i="9"/>
  <c r="J64" i="9"/>
  <c r="H86" i="2"/>
  <c r="D48" i="7" l="1"/>
  <c r="E48" i="7"/>
  <c r="F48" i="7"/>
  <c r="G48" i="7"/>
  <c r="C49" i="7"/>
  <c r="M39" i="9"/>
  <c r="L41" i="9"/>
  <c r="J85" i="2"/>
  <c r="K18" i="9"/>
  <c r="E33" i="2"/>
  <c r="E43" i="2"/>
  <c r="E103" i="2"/>
  <c r="C46" i="2"/>
  <c r="D104" i="2"/>
  <c r="J26" i="9"/>
  <c r="K66" i="9"/>
  <c r="K64" i="9"/>
  <c r="H91" i="2"/>
  <c r="H30" i="2"/>
  <c r="E49" i="7" l="1"/>
  <c r="G49" i="7"/>
  <c r="D49" i="7"/>
  <c r="F49" i="7"/>
  <c r="C50" i="7"/>
  <c r="N39" i="9"/>
  <c r="M41" i="9"/>
  <c r="L18" i="9"/>
  <c r="K85" i="2"/>
  <c r="E45" i="2"/>
  <c r="E104" i="2"/>
  <c r="F104" i="2" s="1"/>
  <c r="G104" i="2" s="1"/>
  <c r="D46" i="2"/>
  <c r="J28" i="9"/>
  <c r="I86" i="2"/>
  <c r="L66" i="9"/>
  <c r="L26" i="9" s="1"/>
  <c r="L64" i="9"/>
  <c r="H93" i="2"/>
  <c r="H101" i="2"/>
  <c r="H31" i="2"/>
  <c r="K26" i="9"/>
  <c r="J86" i="2" l="1"/>
  <c r="K28" i="9"/>
  <c r="E50" i="7"/>
  <c r="G50" i="7"/>
  <c r="D50" i="7"/>
  <c r="F50" i="7"/>
  <c r="C51" i="7"/>
  <c r="O39" i="9"/>
  <c r="N41" i="9"/>
  <c r="L85" i="2"/>
  <c r="M18" i="9"/>
  <c r="E46" i="2"/>
  <c r="F46" i="2" s="1"/>
  <c r="G46" i="2" s="1"/>
  <c r="I30" i="2"/>
  <c r="I91" i="2"/>
  <c r="M66" i="9"/>
  <c r="M64" i="9"/>
  <c r="H103" i="2"/>
  <c r="H33" i="2"/>
  <c r="H43" i="2"/>
  <c r="L28" i="9"/>
  <c r="K86" i="2"/>
  <c r="J91" i="2" l="1"/>
  <c r="J30" i="2"/>
  <c r="J31" i="2" s="1"/>
  <c r="K30" i="2"/>
  <c r="K31" i="2" s="1"/>
  <c r="K91" i="2"/>
  <c r="E51" i="7"/>
  <c r="G51" i="7"/>
  <c r="D51" i="7"/>
  <c r="F51" i="7"/>
  <c r="C52" i="7"/>
  <c r="P39" i="9"/>
  <c r="O41" i="9"/>
  <c r="M85" i="2"/>
  <c r="N18" i="9"/>
  <c r="I31" i="2"/>
  <c r="I101" i="2"/>
  <c r="I93" i="2"/>
  <c r="M26" i="9"/>
  <c r="N66" i="9"/>
  <c r="N64" i="9"/>
  <c r="H104" i="2"/>
  <c r="H45" i="2"/>
  <c r="J101" i="2" l="1"/>
  <c r="J93" i="2"/>
  <c r="J103" i="2" s="1"/>
  <c r="J43" i="2"/>
  <c r="J33" i="2"/>
  <c r="J45" i="2" s="1"/>
  <c r="K33" i="2"/>
  <c r="K45" i="2" s="1"/>
  <c r="K43" i="2"/>
  <c r="K101" i="2"/>
  <c r="K93" i="2"/>
  <c r="K103" i="2" s="1"/>
  <c r="E52" i="7"/>
  <c r="G52" i="7"/>
  <c r="D52" i="7"/>
  <c r="F52" i="7"/>
  <c r="C53" i="7"/>
  <c r="Q39" i="9"/>
  <c r="P41" i="9"/>
  <c r="O18" i="9"/>
  <c r="N85" i="2"/>
  <c r="I43" i="2"/>
  <c r="I33" i="2"/>
  <c r="I103" i="2"/>
  <c r="M28" i="9"/>
  <c r="L86" i="2"/>
  <c r="O66" i="9"/>
  <c r="O64" i="9"/>
  <c r="H46" i="2"/>
  <c r="N26" i="9"/>
  <c r="M86" i="2" l="1"/>
  <c r="N28" i="9"/>
  <c r="E53" i="7"/>
  <c r="G53" i="7"/>
  <c r="D53" i="7"/>
  <c r="F53" i="7"/>
  <c r="C54" i="7"/>
  <c r="R39" i="9"/>
  <c r="Q41" i="9"/>
  <c r="O85" i="2"/>
  <c r="P18" i="9"/>
  <c r="I45" i="2"/>
  <c r="I104" i="2"/>
  <c r="J104" i="2" s="1"/>
  <c r="K104" i="2" s="1"/>
  <c r="L91" i="2"/>
  <c r="L30" i="2"/>
  <c r="P66" i="9"/>
  <c r="P26" i="9" s="1"/>
  <c r="O86" i="2" s="1"/>
  <c r="P64" i="9"/>
  <c r="O26" i="9"/>
  <c r="M30" i="2" l="1"/>
  <c r="M31" i="2" s="1"/>
  <c r="M91" i="2"/>
  <c r="E54" i="7"/>
  <c r="G54" i="7"/>
  <c r="D54" i="7"/>
  <c r="F54" i="7"/>
  <c r="C55" i="7"/>
  <c r="S39" i="9"/>
  <c r="R41" i="9"/>
  <c r="P85" i="2"/>
  <c r="Q18" i="9"/>
  <c r="O91" i="2"/>
  <c r="O30" i="2"/>
  <c r="O31" i="2" s="1"/>
  <c r="P28" i="9"/>
  <c r="I46" i="2"/>
  <c r="J46" i="2" s="1"/>
  <c r="K46" i="2" s="1"/>
  <c r="L93" i="2"/>
  <c r="L101" i="2"/>
  <c r="L31" i="2"/>
  <c r="Q66" i="9"/>
  <c r="Q64" i="9"/>
  <c r="O28" i="9"/>
  <c r="N86" i="2"/>
  <c r="M33" i="2" l="1"/>
  <c r="M45" i="2" s="1"/>
  <c r="M43" i="2"/>
  <c r="M93" i="2"/>
  <c r="M103" i="2" s="1"/>
  <c r="M101" i="2"/>
  <c r="N30" i="2"/>
  <c r="N31" i="2" s="1"/>
  <c r="N91" i="2"/>
  <c r="E55" i="7"/>
  <c r="G55" i="7"/>
  <c r="D55" i="7"/>
  <c r="F55" i="7"/>
  <c r="C56" i="7"/>
  <c r="T39" i="9"/>
  <c r="S41" i="9"/>
  <c r="Q85" i="2"/>
  <c r="R18" i="9"/>
  <c r="O101" i="2"/>
  <c r="O93" i="2"/>
  <c r="O103" i="2" s="1"/>
  <c r="O33" i="2"/>
  <c r="O45" i="2" s="1"/>
  <c r="O43" i="2"/>
  <c r="L103" i="2"/>
  <c r="L43" i="2"/>
  <c r="L33" i="2"/>
  <c r="Q26" i="9"/>
  <c r="R66" i="9"/>
  <c r="R26" i="9" s="1"/>
  <c r="Q86" i="2" s="1"/>
  <c r="R64" i="9"/>
  <c r="N33" i="2" l="1"/>
  <c r="N45" i="2" s="1"/>
  <c r="N43" i="2"/>
  <c r="N93" i="2"/>
  <c r="N103" i="2" s="1"/>
  <c r="N101" i="2"/>
  <c r="E56" i="7"/>
  <c r="F56" i="7"/>
  <c r="D56" i="7"/>
  <c r="G56" i="7"/>
  <c r="C57" i="7"/>
  <c r="U39" i="9"/>
  <c r="T41" i="9"/>
  <c r="R85" i="2"/>
  <c r="S18" i="9"/>
  <c r="Q91" i="2"/>
  <c r="Q30" i="2"/>
  <c r="Q31" i="2" s="1"/>
  <c r="R28" i="9"/>
  <c r="L104" i="2"/>
  <c r="L45" i="2"/>
  <c r="Q28" i="9"/>
  <c r="P86" i="2"/>
  <c r="S66" i="9"/>
  <c r="S64" i="9"/>
  <c r="F57" i="7" l="1"/>
  <c r="C58" i="7"/>
  <c r="D57" i="7"/>
  <c r="E57" i="7"/>
  <c r="G57" i="7"/>
  <c r="V39" i="9"/>
  <c r="U41" i="9"/>
  <c r="S85" i="2"/>
  <c r="T18" i="9"/>
  <c r="Q101" i="2"/>
  <c r="Q93" i="2"/>
  <c r="Q103" i="2" s="1"/>
  <c r="Q33" i="2"/>
  <c r="Q45" i="2" s="1"/>
  <c r="Q43" i="2"/>
  <c r="M104" i="2"/>
  <c r="L46" i="2"/>
  <c r="P91" i="2"/>
  <c r="P30" i="2"/>
  <c r="S26" i="9"/>
  <c r="T66" i="9"/>
  <c r="T64" i="9"/>
  <c r="E58" i="7" l="1"/>
  <c r="G58" i="7"/>
  <c r="D58" i="7"/>
  <c r="F58" i="7"/>
  <c r="C59" i="7"/>
  <c r="W39" i="9"/>
  <c r="V41" i="9"/>
  <c r="T85" i="2"/>
  <c r="U18" i="9"/>
  <c r="M46" i="2"/>
  <c r="N46" i="2" s="1"/>
  <c r="O46" i="2" s="1"/>
  <c r="P101" i="2"/>
  <c r="P93" i="2"/>
  <c r="P31" i="2"/>
  <c r="S28" i="9"/>
  <c r="R86" i="2"/>
  <c r="U66" i="9"/>
  <c r="U64" i="9"/>
  <c r="N104" i="2"/>
  <c r="O104" i="2" s="1"/>
  <c r="T26" i="9"/>
  <c r="S86" i="2" l="1"/>
  <c r="T28" i="9"/>
  <c r="D59" i="7"/>
  <c r="F59" i="7"/>
  <c r="C60" i="7"/>
  <c r="E59" i="7"/>
  <c r="G59" i="7"/>
  <c r="U85" i="2"/>
  <c r="V18" i="9"/>
  <c r="P103" i="2"/>
  <c r="P33" i="2"/>
  <c r="P43" i="2"/>
  <c r="R91" i="2"/>
  <c r="R30" i="2"/>
  <c r="V66" i="9"/>
  <c r="V64" i="9"/>
  <c r="W41" i="9"/>
  <c r="X41" i="9" s="1"/>
  <c r="X39" i="9"/>
  <c r="U26" i="9"/>
  <c r="U28" i="9" s="1"/>
  <c r="S30" i="2" l="1"/>
  <c r="S31" i="2" s="1"/>
  <c r="S91" i="2"/>
  <c r="E60" i="7"/>
  <c r="G60" i="7"/>
  <c r="C61" i="7"/>
  <c r="D60" i="7"/>
  <c r="F60" i="7"/>
  <c r="P104" i="2"/>
  <c r="P45" i="2"/>
  <c r="R101" i="2"/>
  <c r="R93" i="2"/>
  <c r="R31" i="2"/>
  <c r="W66" i="9"/>
  <c r="W64" i="9"/>
  <c r="X64" i="9" s="1"/>
  <c r="V85" i="2"/>
  <c r="W85" i="2" s="1"/>
  <c r="W18" i="9"/>
  <c r="X18" i="9" s="1"/>
  <c r="T86" i="2"/>
  <c r="V26" i="9"/>
  <c r="V28" i="9" s="1"/>
  <c r="S43" i="2" l="1"/>
  <c r="S33" i="2"/>
  <c r="S45" i="2" s="1"/>
  <c r="S93" i="2"/>
  <c r="S103" i="2" s="1"/>
  <c r="S101" i="2"/>
  <c r="W26" i="9"/>
  <c r="X26" i="9" s="1"/>
  <c r="X66" i="9"/>
  <c r="T30" i="2"/>
  <c r="T91" i="2"/>
  <c r="U86" i="2"/>
  <c r="E61" i="7"/>
  <c r="G61" i="7"/>
  <c r="D61" i="7"/>
  <c r="F61" i="7"/>
  <c r="C62" i="7"/>
  <c r="Q104" i="2"/>
  <c r="P46" i="2"/>
  <c r="R103" i="2"/>
  <c r="R43" i="2"/>
  <c r="R33" i="2"/>
  <c r="U30" i="2" l="1"/>
  <c r="U31" i="2" s="1"/>
  <c r="U91" i="2"/>
  <c r="W28" i="9"/>
  <c r="X28" i="9" s="1"/>
  <c r="V86" i="2"/>
  <c r="T93" i="2"/>
  <c r="T101" i="2"/>
  <c r="T31" i="2"/>
  <c r="E62" i="7"/>
  <c r="G62" i="7"/>
  <c r="D62" i="7"/>
  <c r="F62" i="7"/>
  <c r="C63" i="7"/>
  <c r="Q46" i="2"/>
  <c r="R104" i="2"/>
  <c r="R45" i="2"/>
  <c r="U93" i="2" l="1"/>
  <c r="U103" i="2" s="1"/>
  <c r="U101" i="2"/>
  <c r="U43" i="2"/>
  <c r="U33" i="2"/>
  <c r="U45" i="2" s="1"/>
  <c r="W86" i="2"/>
  <c r="V91" i="2"/>
  <c r="V30" i="2"/>
  <c r="T103" i="2"/>
  <c r="T33" i="2"/>
  <c r="T45" i="2" s="1"/>
  <c r="T43" i="2"/>
  <c r="E63" i="7"/>
  <c r="G63" i="7"/>
  <c r="D63" i="7"/>
  <c r="F63" i="7"/>
  <c r="C64" i="7"/>
  <c r="S104" i="2"/>
  <c r="R46" i="2"/>
  <c r="V101" i="2" l="1"/>
  <c r="V93" i="2"/>
  <c r="W91" i="2"/>
  <c r="W101" i="2" s="1"/>
  <c r="V31" i="2"/>
  <c r="G17" i="1"/>
  <c r="G18" i="1" s="1"/>
  <c r="W30" i="2"/>
  <c r="F64" i="7"/>
  <c r="C65" i="7"/>
  <c r="D64" i="7"/>
  <c r="E64" i="7"/>
  <c r="G64" i="7"/>
  <c r="S46" i="2"/>
  <c r="T46" i="2" s="1"/>
  <c r="U46" i="2" s="1"/>
  <c r="T104" i="2"/>
  <c r="U104" i="2" s="1"/>
  <c r="W93" i="2" l="1"/>
  <c r="V103" i="2"/>
  <c r="V43" i="2"/>
  <c r="C58" i="2" s="1"/>
  <c r="V33" i="2"/>
  <c r="W31" i="2"/>
  <c r="W43" i="2" s="1"/>
  <c r="F17" i="1"/>
  <c r="F13" i="1"/>
  <c r="F14" i="1"/>
  <c r="F12" i="1"/>
  <c r="F16" i="1"/>
  <c r="F15" i="1"/>
  <c r="E65" i="7"/>
  <c r="G65" i="7"/>
  <c r="D65" i="7"/>
  <c r="F65" i="7"/>
  <c r="C66" i="7"/>
  <c r="F18" i="1" l="1"/>
  <c r="V104" i="2"/>
  <c r="C111" i="2" s="1" a="1"/>
  <c r="C111" i="2" s="1"/>
  <c r="C108" i="2"/>
  <c r="C110" i="2" s="1"/>
  <c r="C107" i="2"/>
  <c r="W103" i="2"/>
  <c r="V45" i="2"/>
  <c r="W33" i="2"/>
  <c r="E66" i="7"/>
  <c r="G66" i="7"/>
  <c r="D66" i="7"/>
  <c r="F66" i="7"/>
  <c r="C67" i="7"/>
  <c r="V46" i="2" l="1"/>
  <c r="C60" i="2" s="1" a="1"/>
  <c r="C60" i="2" s="1"/>
  <c r="C6" i="1" s="1"/>
  <c r="O12" i="1" s="1"/>
  <c r="O11" i="1" s="1"/>
  <c r="C51" i="2"/>
  <c r="W45" i="2"/>
  <c r="C3" i="1"/>
  <c r="C49" i="2"/>
  <c r="C2" i="1" s="1"/>
  <c r="F67" i="7"/>
  <c r="C68" i="7"/>
  <c r="D67" i="7"/>
  <c r="E67" i="7"/>
  <c r="G67" i="7"/>
  <c r="C4" i="1" l="1"/>
  <c r="C54" i="2"/>
  <c r="C5" i="1" s="1"/>
  <c r="B5" i="8"/>
  <c r="B6" i="2"/>
  <c r="E68" i="7"/>
  <c r="G68" i="7"/>
  <c r="D68" i="7"/>
  <c r="F68" i="7"/>
  <c r="C69" i="7"/>
  <c r="B4" i="9" l="1"/>
  <c r="B4" i="6"/>
  <c r="B4" i="3"/>
  <c r="D69" i="7"/>
  <c r="E69" i="7"/>
  <c r="F69" i="7"/>
  <c r="G69" i="7"/>
  <c r="C70" i="7"/>
  <c r="D70" i="7" l="1"/>
  <c r="E70" i="7"/>
  <c r="G70" i="7"/>
  <c r="F70" i="7"/>
  <c r="C71" i="7"/>
  <c r="D71" i="7" l="1"/>
  <c r="F71" i="7"/>
  <c r="C72" i="7"/>
  <c r="E71" i="7"/>
  <c r="G71" i="7"/>
  <c r="E72" i="7" l="1"/>
  <c r="G72" i="7"/>
  <c r="D72" i="7"/>
  <c r="F72" i="7"/>
  <c r="C73" i="7"/>
  <c r="E73" i="7" l="1"/>
  <c r="C74" i="7"/>
  <c r="D73" i="7"/>
  <c r="F73" i="7"/>
  <c r="G73" i="7"/>
  <c r="E74" i="7" l="1"/>
  <c r="G74" i="7"/>
  <c r="D74" i="7"/>
  <c r="F74" i="7"/>
  <c r="C75" i="7"/>
  <c r="E75" i="7" l="1"/>
  <c r="G75" i="7"/>
  <c r="D75" i="7"/>
  <c r="F75" i="7"/>
  <c r="C76" i="7"/>
  <c r="D76" i="7" l="1"/>
  <c r="F76" i="7"/>
  <c r="G76" i="7"/>
  <c r="C77" i="7"/>
  <c r="E76" i="7"/>
  <c r="D77" i="7" l="1"/>
  <c r="E77" i="7"/>
  <c r="F77" i="7"/>
  <c r="G77" i="7"/>
  <c r="C78" i="7"/>
  <c r="D78" i="7" l="1"/>
  <c r="E78" i="7"/>
  <c r="F78" i="7"/>
  <c r="G78" i="7"/>
  <c r="C79" i="7"/>
  <c r="D79" i="7" l="1"/>
  <c r="E79" i="7"/>
  <c r="F79" i="7"/>
  <c r="G79" i="7"/>
  <c r="C80" i="7"/>
  <c r="D80" i="7" l="1"/>
  <c r="E80" i="7"/>
  <c r="F80" i="7"/>
  <c r="G80" i="7"/>
  <c r="C81" i="7"/>
  <c r="D81" i="7" l="1"/>
  <c r="E81" i="7"/>
  <c r="F81" i="7"/>
  <c r="G81" i="7"/>
  <c r="C82" i="7"/>
  <c r="D82" i="7" l="1"/>
  <c r="E82" i="7"/>
  <c r="F82" i="7"/>
  <c r="G82" i="7"/>
  <c r="C83" i="7"/>
  <c r="D83" i="7" l="1"/>
  <c r="E83" i="7"/>
  <c r="F83" i="7"/>
  <c r="G83" i="7"/>
  <c r="C84" i="7"/>
  <c r="D84" i="7" l="1"/>
  <c r="E84" i="7"/>
  <c r="F84" i="7"/>
  <c r="G84" i="7"/>
  <c r="C85" i="7"/>
  <c r="D85" i="7" l="1"/>
  <c r="E85" i="7"/>
  <c r="F85" i="7"/>
  <c r="G85" i="7"/>
  <c r="C86" i="7"/>
  <c r="D86" i="7" l="1"/>
  <c r="E86" i="7"/>
  <c r="F86" i="7"/>
  <c r="G86" i="7"/>
  <c r="C87" i="7"/>
  <c r="D87" i="7" l="1"/>
  <c r="E87" i="7"/>
  <c r="F87" i="7"/>
  <c r="G87" i="7"/>
  <c r="C88" i="7"/>
  <c r="D88" i="7" l="1"/>
  <c r="E88" i="7"/>
  <c r="F88" i="7"/>
  <c r="G88" i="7"/>
  <c r="C89" i="7"/>
  <c r="D89" i="7" l="1"/>
  <c r="E89" i="7"/>
  <c r="F89" i="7"/>
  <c r="G89" i="7"/>
  <c r="C90" i="7"/>
  <c r="D90" i="7" l="1"/>
  <c r="E90" i="7"/>
  <c r="F90" i="7"/>
  <c r="G90" i="7"/>
  <c r="C91" i="7"/>
  <c r="D91" i="7" l="1"/>
  <c r="E91" i="7"/>
  <c r="F91" i="7"/>
  <c r="G91" i="7"/>
  <c r="C92" i="7"/>
  <c r="D92" i="7" l="1"/>
  <c r="E92" i="7"/>
  <c r="F92" i="7"/>
  <c r="G92" i="7"/>
  <c r="C93" i="7"/>
  <c r="D93" i="7" l="1"/>
  <c r="E93" i="7"/>
  <c r="F93" i="7"/>
  <c r="G93" i="7"/>
  <c r="C94" i="7"/>
  <c r="D94" i="7" l="1"/>
  <c r="E94" i="7"/>
  <c r="F94" i="7"/>
  <c r="G94" i="7"/>
  <c r="C95" i="7"/>
  <c r="D95" i="7" l="1"/>
  <c r="E95" i="7"/>
  <c r="F95" i="7"/>
  <c r="G95" i="7"/>
  <c r="C96" i="7"/>
  <c r="D96" i="7" l="1"/>
  <c r="E96" i="7"/>
  <c r="F96" i="7"/>
  <c r="G96" i="7"/>
  <c r="C97" i="7"/>
  <c r="D97" i="7" l="1"/>
  <c r="E97" i="7"/>
  <c r="F97" i="7"/>
  <c r="G97" i="7"/>
  <c r="C98" i="7"/>
  <c r="D98" i="7" l="1"/>
  <c r="E98" i="7"/>
  <c r="F98" i="7"/>
  <c r="G98" i="7"/>
  <c r="C99" i="7"/>
  <c r="D99" i="7" l="1"/>
  <c r="E99" i="7"/>
  <c r="F99" i="7"/>
  <c r="G99" i="7"/>
  <c r="C100" i="7"/>
  <c r="D100" i="7" l="1"/>
  <c r="E100" i="7"/>
  <c r="F100" i="7"/>
  <c r="G100" i="7"/>
  <c r="C101" i="7"/>
  <c r="D101" i="7" l="1"/>
  <c r="E101" i="7"/>
  <c r="F101" i="7"/>
  <c r="G101" i="7"/>
  <c r="C102" i="7"/>
  <c r="D102" i="7" l="1"/>
  <c r="E102" i="7"/>
  <c r="F102" i="7"/>
  <c r="G102" i="7"/>
  <c r="C103" i="7"/>
  <c r="D103" i="7" l="1"/>
  <c r="E103" i="7"/>
  <c r="F103" i="7"/>
  <c r="G103" i="7"/>
  <c r="C104" i="7"/>
  <c r="D104" i="7" l="1"/>
  <c r="E104" i="7"/>
  <c r="F104" i="7"/>
  <c r="G104" i="7"/>
  <c r="C105" i="7"/>
  <c r="D105" i="7" l="1"/>
  <c r="E105" i="7"/>
  <c r="F105" i="7"/>
  <c r="G105" i="7"/>
  <c r="C106" i="7"/>
  <c r="D106" i="7" l="1"/>
  <c r="E106" i="7"/>
  <c r="F106" i="7"/>
  <c r="G106" i="7"/>
  <c r="C107" i="7"/>
  <c r="D107" i="7" l="1"/>
  <c r="E107" i="7"/>
  <c r="F107" i="7"/>
  <c r="G107" i="7"/>
  <c r="C108" i="7"/>
  <c r="D108" i="7" l="1"/>
  <c r="E108" i="7"/>
  <c r="F108" i="7"/>
  <c r="G108" i="7"/>
  <c r="C109" i="7"/>
  <c r="D109" i="7" l="1"/>
  <c r="E109" i="7"/>
  <c r="F109" i="7"/>
  <c r="G109" i="7"/>
  <c r="C110" i="7"/>
  <c r="D110" i="7" l="1"/>
  <c r="E110" i="7"/>
  <c r="F110" i="7"/>
  <c r="G110" i="7"/>
  <c r="C111" i="7"/>
  <c r="D111" i="7" l="1"/>
  <c r="E111" i="7"/>
  <c r="F111" i="7"/>
  <c r="G111" i="7"/>
  <c r="C112" i="7"/>
  <c r="D112" i="7" l="1"/>
  <c r="E112" i="7"/>
  <c r="F112" i="7"/>
  <c r="G112" i="7"/>
  <c r="C113" i="7"/>
  <c r="D113" i="7" l="1"/>
  <c r="E113" i="7"/>
  <c r="F113" i="7"/>
  <c r="G113" i="7"/>
  <c r="C114" i="7"/>
  <c r="D114" i="7" l="1"/>
  <c r="E114" i="7"/>
  <c r="F114" i="7"/>
  <c r="G114" i="7"/>
  <c r="C115" i="7"/>
  <c r="D115" i="7" l="1"/>
  <c r="E115" i="7"/>
  <c r="F115" i="7"/>
  <c r="G115" i="7"/>
  <c r="C116" i="7"/>
  <c r="D116" i="7" l="1"/>
  <c r="E116" i="7"/>
  <c r="F116" i="7"/>
  <c r="G116" i="7"/>
  <c r="C117" i="7"/>
  <c r="D117" i="7" l="1"/>
  <c r="E117" i="7"/>
  <c r="F117" i="7"/>
  <c r="G117" i="7"/>
  <c r="C118" i="7"/>
  <c r="D118" i="7" l="1"/>
  <c r="E118" i="7"/>
  <c r="F118" i="7"/>
  <c r="G118" i="7"/>
  <c r="C119" i="7"/>
  <c r="D119" i="7" l="1"/>
  <c r="E119" i="7"/>
  <c r="F119" i="7"/>
  <c r="G119" i="7"/>
  <c r="C120" i="7"/>
  <c r="D120" i="7" l="1"/>
  <c r="E120" i="7"/>
  <c r="F120" i="7"/>
  <c r="G120" i="7"/>
  <c r="C121" i="7"/>
  <c r="D121" i="7" l="1"/>
  <c r="E121" i="7"/>
  <c r="F121" i="7"/>
  <c r="G121" i="7"/>
  <c r="C122" i="7"/>
  <c r="D122" i="7" l="1"/>
  <c r="E122" i="7"/>
  <c r="F122" i="7"/>
  <c r="G122" i="7"/>
  <c r="C123" i="7"/>
  <c r="D123" i="7" l="1"/>
  <c r="E123" i="7"/>
  <c r="F123" i="7"/>
  <c r="G123" i="7"/>
  <c r="C124" i="7"/>
  <c r="D124" i="7" l="1"/>
  <c r="E124" i="7"/>
  <c r="F124" i="7"/>
  <c r="G124" i="7"/>
  <c r="C125" i="7"/>
  <c r="D125" i="7" l="1"/>
  <c r="E125" i="7"/>
  <c r="F125" i="7"/>
  <c r="G125" i="7"/>
  <c r="C126" i="7"/>
  <c r="D126" i="7" l="1"/>
  <c r="E126" i="7"/>
  <c r="F126" i="7"/>
  <c r="G126" i="7"/>
  <c r="C127" i="7"/>
  <c r="D127" i="7" l="1"/>
  <c r="E127" i="7"/>
  <c r="F127" i="7"/>
  <c r="G127" i="7"/>
  <c r="C128" i="7"/>
  <c r="D128" i="7" l="1"/>
  <c r="E128" i="7"/>
  <c r="F128" i="7"/>
  <c r="G128" i="7"/>
  <c r="C129" i="7"/>
  <c r="D129" i="7" l="1"/>
  <c r="E129" i="7"/>
  <c r="F129" i="7"/>
  <c r="G129" i="7"/>
  <c r="C130" i="7"/>
  <c r="D130" i="7" l="1"/>
  <c r="E130" i="7"/>
  <c r="F130" i="7"/>
  <c r="G130" i="7"/>
  <c r="C131" i="7"/>
  <c r="D131" i="7" l="1"/>
  <c r="E131" i="7"/>
  <c r="F131" i="7"/>
  <c r="G131" i="7"/>
  <c r="C132" i="7"/>
  <c r="D132" i="7" l="1"/>
  <c r="E132" i="7"/>
  <c r="F132" i="7"/>
  <c r="G132" i="7"/>
  <c r="C133" i="7"/>
  <c r="D133" i="7" l="1"/>
  <c r="E133" i="7"/>
  <c r="F133" i="7"/>
  <c r="G133" i="7"/>
  <c r="C134" i="7"/>
  <c r="D134" i="7" l="1"/>
  <c r="E134" i="7"/>
  <c r="F134" i="7"/>
  <c r="G134" i="7"/>
  <c r="C135" i="7"/>
  <c r="D135" i="7" l="1"/>
  <c r="E135" i="7"/>
  <c r="F135" i="7"/>
  <c r="G135" i="7"/>
  <c r="C136" i="7"/>
  <c r="D136" i="7" l="1"/>
  <c r="E136" i="7"/>
  <c r="F136" i="7"/>
  <c r="G136" i="7"/>
  <c r="C137" i="7"/>
  <c r="D137" i="7" l="1"/>
  <c r="E137" i="7"/>
  <c r="F137" i="7"/>
  <c r="G137" i="7"/>
  <c r="C138" i="7"/>
  <c r="D138" i="7" l="1"/>
  <c r="E138" i="7"/>
  <c r="F138" i="7"/>
  <c r="G138" i="7"/>
  <c r="C139" i="7"/>
  <c r="D139" i="7" l="1"/>
  <c r="E139" i="7"/>
  <c r="F139" i="7"/>
  <c r="G139" i="7"/>
  <c r="C140" i="7"/>
  <c r="D140" i="7" l="1"/>
  <c r="E140" i="7"/>
  <c r="F140" i="7"/>
  <c r="G140" i="7"/>
  <c r="C141" i="7"/>
  <c r="D141" i="7" l="1"/>
  <c r="E141" i="7"/>
  <c r="F141" i="7"/>
  <c r="G141" i="7"/>
  <c r="C142" i="7"/>
  <c r="D142" i="7" l="1"/>
  <c r="E142" i="7"/>
  <c r="F142" i="7"/>
  <c r="G142" i="7"/>
  <c r="C143" i="7"/>
  <c r="D143" i="7" l="1"/>
  <c r="E143" i="7"/>
  <c r="F143" i="7"/>
  <c r="G143" i="7"/>
  <c r="C144" i="7"/>
  <c r="D144" i="7" l="1"/>
  <c r="E144" i="7"/>
  <c r="F144" i="7"/>
  <c r="G144" i="7"/>
  <c r="C145" i="7"/>
  <c r="D145" i="7" l="1"/>
  <c r="E145" i="7"/>
  <c r="F145" i="7"/>
  <c r="G145" i="7"/>
  <c r="C146" i="7"/>
  <c r="D146" i="7" l="1"/>
  <c r="E146" i="7"/>
  <c r="F146" i="7"/>
  <c r="G146" i="7"/>
  <c r="C147" i="7"/>
  <c r="D147" i="7" l="1"/>
  <c r="E147" i="7"/>
  <c r="F147" i="7"/>
  <c r="G147" i="7"/>
  <c r="C148" i="7"/>
  <c r="D148" i="7" l="1"/>
  <c r="E148" i="7"/>
  <c r="F148" i="7"/>
  <c r="G148" i="7"/>
  <c r="C149" i="7"/>
  <c r="D149" i="7" l="1"/>
  <c r="E149" i="7"/>
  <c r="F149" i="7"/>
  <c r="G149" i="7"/>
  <c r="C150" i="7"/>
  <c r="D150" i="7" l="1"/>
  <c r="E150" i="7"/>
  <c r="F150" i="7"/>
  <c r="G150" i="7"/>
  <c r="C151" i="7"/>
  <c r="D151" i="7" l="1"/>
  <c r="E151" i="7"/>
  <c r="F151" i="7"/>
  <c r="G151" i="7"/>
  <c r="C152" i="7"/>
  <c r="D152" i="7" l="1"/>
  <c r="E152" i="7"/>
  <c r="F152" i="7"/>
  <c r="G152" i="7"/>
  <c r="C153" i="7"/>
  <c r="D153" i="7" l="1"/>
  <c r="E153" i="7"/>
  <c r="F153" i="7"/>
  <c r="G153" i="7"/>
  <c r="C154" i="7"/>
  <c r="D154" i="7" l="1"/>
  <c r="E154" i="7"/>
  <c r="F154" i="7"/>
  <c r="G154" i="7"/>
  <c r="C155" i="7"/>
  <c r="D155" i="7" l="1"/>
  <c r="E155" i="7"/>
  <c r="F155" i="7"/>
  <c r="G155" i="7"/>
  <c r="C156" i="7"/>
  <c r="D156" i="7" l="1"/>
  <c r="E156" i="7"/>
  <c r="F156" i="7"/>
  <c r="G156" i="7"/>
  <c r="C157" i="7"/>
  <c r="D157" i="7" l="1"/>
  <c r="E157" i="7"/>
  <c r="F157" i="7"/>
  <c r="G157" i="7"/>
  <c r="C158" i="7"/>
  <c r="D158" i="7" l="1"/>
  <c r="E158" i="7"/>
  <c r="F158" i="7"/>
  <c r="G158" i="7"/>
  <c r="C159" i="7"/>
  <c r="D159" i="7" l="1"/>
  <c r="E159" i="7"/>
  <c r="F159" i="7"/>
  <c r="G159" i="7"/>
  <c r="C160" i="7"/>
  <c r="D160" i="7" l="1"/>
  <c r="E160" i="7"/>
  <c r="F160" i="7"/>
  <c r="G160" i="7"/>
  <c r="C161" i="7"/>
  <c r="D161" i="7" l="1"/>
  <c r="E161" i="7"/>
  <c r="F161" i="7"/>
  <c r="G161" i="7"/>
  <c r="C162" i="7"/>
  <c r="D162" i="7" l="1"/>
  <c r="E162" i="7"/>
  <c r="F162" i="7"/>
  <c r="G162" i="7"/>
  <c r="C163" i="7"/>
  <c r="D163" i="7" l="1"/>
  <c r="E163" i="7"/>
  <c r="F163" i="7"/>
  <c r="G163" i="7"/>
  <c r="C164" i="7"/>
  <c r="D164" i="7" l="1"/>
  <c r="E164" i="7"/>
  <c r="F164" i="7"/>
  <c r="G164" i="7"/>
  <c r="C165" i="7"/>
  <c r="D165" i="7" l="1"/>
  <c r="E165" i="7"/>
  <c r="F165" i="7"/>
  <c r="G165" i="7"/>
  <c r="C166" i="7"/>
  <c r="D166" i="7" l="1"/>
  <c r="E166" i="7"/>
  <c r="F166" i="7"/>
  <c r="G166" i="7"/>
  <c r="C167" i="7"/>
  <c r="D167" i="7" l="1"/>
  <c r="E167" i="7"/>
  <c r="F167" i="7"/>
  <c r="G167" i="7"/>
  <c r="C168" i="7"/>
  <c r="D168" i="7" l="1"/>
  <c r="E168" i="7"/>
  <c r="F168" i="7"/>
  <c r="G168" i="7"/>
  <c r="C169" i="7"/>
  <c r="D169" i="7" l="1"/>
  <c r="E169" i="7"/>
  <c r="F169" i="7"/>
  <c r="G169" i="7"/>
  <c r="C170" i="7"/>
  <c r="D170" i="7" l="1"/>
  <c r="E170" i="7"/>
  <c r="F170" i="7"/>
  <c r="G170" i="7"/>
  <c r="C171" i="7"/>
  <c r="D171" i="7" l="1"/>
  <c r="E171" i="7"/>
  <c r="F171" i="7"/>
  <c r="G171" i="7"/>
  <c r="C172" i="7"/>
  <c r="D172" i="7" l="1"/>
  <c r="E172" i="7"/>
  <c r="F172" i="7"/>
  <c r="G172" i="7"/>
  <c r="C173" i="7"/>
  <c r="D173" i="7" l="1"/>
  <c r="E173" i="7"/>
  <c r="F173" i="7"/>
  <c r="G173" i="7"/>
  <c r="C174" i="7"/>
  <c r="D174" i="7" l="1"/>
  <c r="E174" i="7"/>
  <c r="F174" i="7"/>
  <c r="G174" i="7"/>
  <c r="C175" i="7"/>
  <c r="D175" i="7" l="1"/>
  <c r="E175" i="7"/>
  <c r="F175" i="7"/>
  <c r="G175" i="7"/>
  <c r="C176" i="7"/>
  <c r="D176" i="7" l="1"/>
  <c r="E176" i="7"/>
  <c r="F176" i="7"/>
  <c r="G176" i="7"/>
  <c r="C177" i="7"/>
  <c r="D177" i="7" l="1"/>
  <c r="E177" i="7"/>
  <c r="F177" i="7"/>
  <c r="G177" i="7"/>
  <c r="C178" i="7"/>
  <c r="D178" i="7" l="1"/>
  <c r="E178" i="7"/>
  <c r="F178" i="7"/>
  <c r="G178" i="7"/>
  <c r="C179" i="7"/>
  <c r="D179" i="7" l="1"/>
  <c r="E179" i="7"/>
  <c r="F179" i="7"/>
  <c r="G179" i="7"/>
  <c r="C180" i="7"/>
  <c r="D180" i="7" l="1"/>
  <c r="E180" i="7"/>
  <c r="F180" i="7"/>
  <c r="G180" i="7"/>
  <c r="C181" i="7"/>
  <c r="D181" i="7" l="1"/>
  <c r="E181" i="7"/>
  <c r="F181" i="7"/>
  <c r="G181" i="7"/>
  <c r="C182" i="7"/>
  <c r="D182" i="7" l="1"/>
  <c r="E182" i="7"/>
  <c r="F182" i="7"/>
  <c r="G182" i="7"/>
  <c r="C183" i="7"/>
  <c r="D183" i="7" l="1"/>
  <c r="E183" i="7"/>
  <c r="F183" i="7"/>
  <c r="G183" i="7"/>
  <c r="C184" i="7"/>
  <c r="D184" i="7" l="1"/>
  <c r="E184" i="7"/>
  <c r="F184" i="7"/>
  <c r="G184" i="7"/>
  <c r="C185" i="7"/>
  <c r="D185" i="7" l="1"/>
  <c r="E185" i="7"/>
  <c r="F185" i="7"/>
  <c r="G185" i="7"/>
  <c r="C186" i="7"/>
  <c r="D186" i="7" l="1"/>
  <c r="E186" i="7"/>
  <c r="F186" i="7"/>
  <c r="G186" i="7"/>
  <c r="C187" i="7"/>
  <c r="D187" i="7" l="1"/>
  <c r="E187" i="7"/>
  <c r="F187" i="7"/>
  <c r="G187" i="7"/>
  <c r="C188" i="7"/>
  <c r="D188" i="7" l="1"/>
  <c r="E188" i="7"/>
  <c r="F188" i="7"/>
  <c r="G188" i="7"/>
  <c r="C189" i="7"/>
  <c r="D189" i="7" l="1"/>
  <c r="E189" i="7"/>
  <c r="F189" i="7"/>
  <c r="G189" i="7"/>
  <c r="C190" i="7"/>
  <c r="D190" i="7" l="1"/>
  <c r="E190" i="7"/>
  <c r="F190" i="7"/>
  <c r="G190" i="7"/>
  <c r="C191" i="7"/>
  <c r="D191" i="7" l="1"/>
  <c r="E191" i="7"/>
  <c r="F191" i="7"/>
  <c r="G191" i="7"/>
  <c r="C192" i="7"/>
  <c r="D192" i="7" l="1"/>
  <c r="E192" i="7"/>
  <c r="F192" i="7"/>
  <c r="G192" i="7"/>
  <c r="C193" i="7"/>
  <c r="D193" i="7" l="1"/>
  <c r="E193" i="7"/>
  <c r="F193" i="7"/>
  <c r="G193" i="7"/>
  <c r="C194" i="7"/>
  <c r="D194" i="7" l="1"/>
  <c r="E194" i="7"/>
  <c r="F194" i="7"/>
  <c r="G194" i="7"/>
  <c r="C195" i="7"/>
  <c r="D195" i="7" l="1"/>
  <c r="E195" i="7"/>
  <c r="F195" i="7"/>
  <c r="G195" i="7"/>
  <c r="C196" i="7"/>
  <c r="D196" i="7" l="1"/>
  <c r="E196" i="7"/>
  <c r="F196" i="7"/>
  <c r="G196" i="7"/>
  <c r="C197" i="7"/>
  <c r="D197" i="7" l="1"/>
  <c r="E197" i="7"/>
  <c r="F197" i="7"/>
  <c r="G197" i="7"/>
  <c r="C198" i="7"/>
  <c r="D198" i="7" l="1"/>
  <c r="E198" i="7"/>
  <c r="F198" i="7"/>
  <c r="G198" i="7"/>
  <c r="C199" i="7"/>
  <c r="D199" i="7" l="1"/>
  <c r="E199" i="7"/>
  <c r="F199" i="7"/>
  <c r="G199" i="7"/>
  <c r="C200" i="7"/>
  <c r="D200" i="7" l="1"/>
  <c r="E200" i="7"/>
  <c r="F200" i="7"/>
  <c r="G200" i="7"/>
  <c r="C201" i="7"/>
  <c r="D201" i="7" l="1"/>
  <c r="E201" i="7"/>
  <c r="F201" i="7"/>
  <c r="G201" i="7"/>
  <c r="C202" i="7"/>
  <c r="D202" i="7" l="1"/>
  <c r="E202" i="7"/>
  <c r="F202" i="7"/>
  <c r="G202" i="7"/>
  <c r="C203" i="7"/>
  <c r="D203" i="7" l="1"/>
  <c r="E203" i="7"/>
  <c r="F203" i="7"/>
  <c r="G203" i="7"/>
  <c r="C204" i="7"/>
  <c r="D204" i="7" l="1"/>
  <c r="E204" i="7"/>
  <c r="F204" i="7"/>
  <c r="G204" i="7"/>
  <c r="C205" i="7"/>
  <c r="D205" i="7" l="1"/>
  <c r="E205" i="7"/>
  <c r="F205" i="7"/>
  <c r="G205" i="7"/>
  <c r="C206" i="7"/>
  <c r="D206" i="7" l="1"/>
  <c r="E206" i="7"/>
  <c r="F206" i="7"/>
  <c r="G206" i="7"/>
  <c r="C207" i="7"/>
  <c r="D207" i="7" l="1"/>
  <c r="E207" i="7"/>
  <c r="F207" i="7"/>
  <c r="G207" i="7"/>
  <c r="C208" i="7"/>
  <c r="D208" i="7" l="1"/>
  <c r="E208" i="7"/>
  <c r="F208" i="7"/>
  <c r="G208" i="7"/>
  <c r="C209" i="7"/>
  <c r="D209" i="7" l="1"/>
  <c r="E209" i="7"/>
  <c r="F209" i="7"/>
  <c r="G209" i="7"/>
  <c r="C210" i="7"/>
  <c r="D210" i="7" l="1"/>
  <c r="E210" i="7"/>
  <c r="F210" i="7"/>
  <c r="G210" i="7"/>
  <c r="C211" i="7"/>
  <c r="D211" i="7" l="1"/>
  <c r="E211" i="7"/>
  <c r="F211" i="7"/>
  <c r="G211" i="7"/>
  <c r="C212" i="7"/>
  <c r="D212" i="7" l="1"/>
  <c r="E212" i="7"/>
  <c r="F212" i="7"/>
  <c r="G212" i="7"/>
  <c r="C213" i="7"/>
  <c r="D213" i="7" l="1"/>
  <c r="E213" i="7"/>
  <c r="F213" i="7"/>
  <c r="G213" i="7"/>
  <c r="C214" i="7"/>
  <c r="D214" i="7" l="1"/>
  <c r="E214" i="7"/>
  <c r="F214" i="7"/>
  <c r="G214" i="7"/>
  <c r="C215" i="7"/>
  <c r="D215" i="7" l="1"/>
  <c r="E215" i="7"/>
  <c r="F215" i="7"/>
  <c r="G215" i="7"/>
  <c r="C216" i="7"/>
  <c r="D216" i="7" l="1"/>
  <c r="E216" i="7"/>
  <c r="F216" i="7"/>
  <c r="G216" i="7"/>
  <c r="C217" i="7"/>
  <c r="D217" i="7" l="1"/>
  <c r="E217" i="7"/>
  <c r="F217" i="7"/>
  <c r="G217" i="7"/>
  <c r="C218" i="7"/>
  <c r="D218" i="7" l="1"/>
  <c r="E218" i="7"/>
  <c r="F218" i="7"/>
  <c r="G218" i="7"/>
  <c r="C219" i="7"/>
  <c r="D219" i="7" l="1"/>
  <c r="E219" i="7"/>
  <c r="F219" i="7"/>
  <c r="G219" i="7"/>
  <c r="C220" i="7"/>
  <c r="D220" i="7" l="1"/>
  <c r="E220" i="7"/>
  <c r="F220" i="7"/>
  <c r="G220" i="7"/>
  <c r="C221" i="7"/>
  <c r="D221" i="7" l="1"/>
  <c r="E221" i="7"/>
  <c r="F221" i="7"/>
  <c r="G221" i="7"/>
  <c r="C222" i="7"/>
  <c r="D222" i="7" l="1"/>
  <c r="E222" i="7"/>
  <c r="F222" i="7"/>
  <c r="G222" i="7"/>
  <c r="C223" i="7"/>
  <c r="D223" i="7" l="1"/>
  <c r="E223" i="7"/>
  <c r="F223" i="7"/>
  <c r="G223" i="7"/>
  <c r="C224" i="7"/>
  <c r="D224" i="7" l="1"/>
  <c r="E224" i="7"/>
  <c r="F224" i="7"/>
  <c r="G224" i="7"/>
  <c r="C225" i="7"/>
  <c r="D225" i="7" l="1"/>
  <c r="E225" i="7"/>
  <c r="F225" i="7"/>
  <c r="G225" i="7"/>
  <c r="C226" i="7"/>
  <c r="D226" i="7" l="1"/>
  <c r="E226" i="7"/>
  <c r="F226" i="7"/>
  <c r="G226" i="7"/>
  <c r="C227" i="7"/>
  <c r="D227" i="7" l="1"/>
  <c r="E227" i="7"/>
  <c r="F227" i="7"/>
  <c r="G227" i="7"/>
  <c r="C228" i="7"/>
  <c r="D228" i="7" l="1"/>
  <c r="E228" i="7"/>
  <c r="F228" i="7"/>
  <c r="G228" i="7"/>
  <c r="C229" i="7"/>
  <c r="D229" i="7" l="1"/>
  <c r="E229" i="7"/>
  <c r="F229" i="7"/>
  <c r="G229" i="7"/>
  <c r="C230" i="7"/>
  <c r="D230" i="7" l="1"/>
  <c r="E230" i="7"/>
  <c r="F230" i="7"/>
  <c r="G230" i="7"/>
  <c r="C231" i="7"/>
  <c r="D231" i="7" l="1"/>
  <c r="E231" i="7"/>
  <c r="F231" i="7"/>
  <c r="G231" i="7"/>
  <c r="C232" i="7"/>
  <c r="D232" i="7" l="1"/>
  <c r="E232" i="7"/>
  <c r="F232" i="7"/>
  <c r="G232" i="7"/>
  <c r="C233" i="7"/>
  <c r="D233" i="7" l="1"/>
  <c r="E233" i="7"/>
  <c r="F233" i="7"/>
  <c r="G233" i="7"/>
  <c r="C234" i="7"/>
  <c r="D234" i="7" l="1"/>
  <c r="E234" i="7"/>
  <c r="F234" i="7"/>
  <c r="G234" i="7"/>
  <c r="C235" i="7"/>
  <c r="D235" i="7" l="1"/>
  <c r="E235" i="7"/>
  <c r="F235" i="7"/>
  <c r="G235" i="7"/>
  <c r="C236" i="7"/>
  <c r="D236" i="7" l="1"/>
  <c r="E236" i="7"/>
  <c r="F236" i="7"/>
  <c r="G236" i="7"/>
  <c r="C237" i="7"/>
  <c r="D237" i="7" l="1"/>
  <c r="E237" i="7"/>
  <c r="F237" i="7"/>
  <c r="G237" i="7"/>
  <c r="C238" i="7"/>
  <c r="D238" i="7" l="1"/>
  <c r="E238" i="7"/>
  <c r="F238" i="7"/>
  <c r="G238" i="7"/>
  <c r="C239" i="7"/>
  <c r="D239" i="7" l="1"/>
  <c r="E239" i="7"/>
  <c r="F239" i="7"/>
  <c r="G239" i="7"/>
  <c r="C240" i="7"/>
  <c r="D240" i="7" l="1"/>
  <c r="E240" i="7"/>
  <c r="F240" i="7"/>
  <c r="G240" i="7"/>
  <c r="C241" i="7"/>
  <c r="D241" i="7" l="1"/>
  <c r="E241" i="7"/>
  <c r="F241" i="7"/>
  <c r="G241" i="7"/>
  <c r="C242" i="7"/>
  <c r="D242" i="7" l="1"/>
  <c r="E242" i="7"/>
  <c r="F242" i="7"/>
  <c r="G242" i="7"/>
  <c r="C243" i="7"/>
  <c r="D243" i="7" l="1"/>
  <c r="E243" i="7"/>
  <c r="F243" i="7"/>
  <c r="G243" i="7"/>
  <c r="C244" i="7"/>
  <c r="D244" i="7" l="1"/>
  <c r="E244" i="7"/>
  <c r="F244" i="7"/>
  <c r="G244" i="7"/>
  <c r="C245" i="7"/>
  <c r="D245" i="7" l="1"/>
  <c r="E245" i="7"/>
  <c r="F245" i="7"/>
  <c r="G245" i="7"/>
  <c r="C246" i="7"/>
  <c r="D246" i="7" l="1"/>
  <c r="E246" i="7"/>
  <c r="F246" i="7"/>
  <c r="G246" i="7"/>
  <c r="C247" i="7"/>
  <c r="D247" i="7" l="1"/>
  <c r="E247" i="7"/>
  <c r="F247" i="7"/>
  <c r="G247" i="7"/>
  <c r="C248" i="7"/>
  <c r="D248" i="7" l="1"/>
  <c r="E248" i="7"/>
  <c r="F248" i="7"/>
  <c r="G248" i="7"/>
  <c r="C249" i="7"/>
  <c r="D249" i="7" l="1"/>
  <c r="E249" i="7"/>
  <c r="F249" i="7"/>
  <c r="G249" i="7"/>
  <c r="C250" i="7"/>
  <c r="D250" i="7" l="1"/>
  <c r="E250" i="7"/>
  <c r="F250" i="7"/>
  <c r="G250" i="7"/>
  <c r="C251" i="7"/>
  <c r="D251" i="7" l="1"/>
  <c r="E251" i="7"/>
  <c r="F251" i="7"/>
  <c r="G251" i="7"/>
  <c r="C252" i="7"/>
  <c r="D252" i="7" l="1"/>
  <c r="E252" i="7"/>
  <c r="F252" i="7"/>
  <c r="G252" i="7"/>
  <c r="C253" i="7"/>
  <c r="D253" i="7" l="1"/>
  <c r="E253" i="7"/>
  <c r="F253" i="7"/>
  <c r="G253" i="7"/>
  <c r="C254" i="7"/>
  <c r="D254" i="7" l="1"/>
  <c r="E254" i="7"/>
  <c r="F254" i="7"/>
  <c r="G254" i="7"/>
  <c r="C255" i="7"/>
  <c r="D255" i="7" l="1"/>
  <c r="E255" i="7"/>
  <c r="F255" i="7"/>
  <c r="G255" i="7"/>
  <c r="C256" i="7"/>
  <c r="D256" i="7" l="1"/>
  <c r="E256" i="7"/>
  <c r="F256" i="7"/>
  <c r="G256" i="7"/>
  <c r="C257" i="7"/>
  <c r="D257" i="7" l="1"/>
  <c r="E257" i="7"/>
  <c r="F257" i="7"/>
  <c r="G257" i="7"/>
  <c r="C258" i="7"/>
  <c r="D258" i="7" l="1"/>
  <c r="E258" i="7"/>
  <c r="F258" i="7"/>
  <c r="G258" i="7"/>
  <c r="C259" i="7"/>
  <c r="D259" i="7" l="1"/>
  <c r="E259" i="7"/>
  <c r="F259" i="7"/>
  <c r="G259" i="7"/>
  <c r="C260" i="7"/>
  <c r="D260" i="7" l="1"/>
  <c r="E260" i="7"/>
  <c r="F260" i="7"/>
  <c r="G260" i="7"/>
  <c r="C261" i="7"/>
  <c r="D261" i="7" l="1"/>
  <c r="E261" i="7"/>
  <c r="F261" i="7"/>
  <c r="G261" i="7"/>
  <c r="C262" i="7"/>
  <c r="D262" i="7" l="1"/>
  <c r="E262" i="7"/>
  <c r="F262" i="7"/>
  <c r="G262" i="7"/>
  <c r="C263" i="7"/>
  <c r="D263" i="7" l="1"/>
  <c r="E263" i="7"/>
  <c r="F263" i="7"/>
  <c r="G263" i="7"/>
  <c r="C264" i="7"/>
  <c r="D264" i="7" l="1"/>
  <c r="E264" i="7"/>
  <c r="F264" i="7"/>
  <c r="G264" i="7"/>
  <c r="C265" i="7"/>
  <c r="D265" i="7" l="1"/>
  <c r="E265" i="7"/>
  <c r="F265" i="7"/>
  <c r="G265" i="7"/>
  <c r="C266" i="7"/>
  <c r="D266" i="7" l="1"/>
  <c r="E266" i="7"/>
  <c r="F266" i="7"/>
  <c r="G266" i="7"/>
  <c r="C267" i="7"/>
  <c r="D267" i="7" l="1"/>
  <c r="E267" i="7"/>
  <c r="F267" i="7"/>
  <c r="G267" i="7"/>
  <c r="C268" i="7"/>
  <c r="D268" i="7" l="1"/>
  <c r="E268" i="7"/>
  <c r="F268" i="7"/>
  <c r="G268" i="7"/>
  <c r="C269" i="7"/>
  <c r="D269" i="7" l="1"/>
  <c r="E269" i="7"/>
  <c r="F269" i="7"/>
  <c r="G269" i="7"/>
  <c r="C270" i="7"/>
  <c r="D270" i="7" l="1"/>
  <c r="E270" i="7"/>
  <c r="F270" i="7"/>
  <c r="G270" i="7"/>
  <c r="C271" i="7"/>
  <c r="D271" i="7" l="1"/>
  <c r="E271" i="7"/>
  <c r="F271" i="7"/>
  <c r="G271" i="7"/>
  <c r="C272" i="7"/>
  <c r="D272" i="7" l="1"/>
  <c r="E272" i="7"/>
  <c r="F272" i="7"/>
  <c r="G272" i="7"/>
  <c r="C273" i="7"/>
  <c r="D273" i="7" l="1"/>
  <c r="E273" i="7"/>
  <c r="F273" i="7"/>
  <c r="G273" i="7"/>
  <c r="C274" i="7"/>
  <c r="D274" i="7" l="1"/>
  <c r="E274" i="7"/>
  <c r="F274" i="7"/>
  <c r="G274" i="7"/>
  <c r="C275" i="7"/>
  <c r="D275" i="7" l="1"/>
  <c r="E275" i="7"/>
  <c r="F275" i="7"/>
  <c r="G275" i="7"/>
  <c r="C276" i="7"/>
  <c r="D276" i="7" l="1"/>
  <c r="E276" i="7"/>
  <c r="F276" i="7"/>
  <c r="G276" i="7"/>
  <c r="C277" i="7"/>
  <c r="D277" i="7" l="1"/>
  <c r="E277" i="7"/>
  <c r="F277" i="7"/>
  <c r="G277" i="7"/>
  <c r="C278" i="7"/>
  <c r="D278" i="7" l="1"/>
  <c r="E278" i="7"/>
  <c r="F278" i="7"/>
  <c r="G278" i="7"/>
  <c r="C279" i="7"/>
  <c r="D279" i="7" l="1"/>
  <c r="E279" i="7"/>
  <c r="F279" i="7"/>
  <c r="G279" i="7"/>
  <c r="C280" i="7"/>
  <c r="D280" i="7" l="1"/>
  <c r="E280" i="7"/>
  <c r="F280" i="7"/>
  <c r="G280" i="7"/>
  <c r="C281" i="7"/>
  <c r="D281" i="7" l="1"/>
  <c r="E281" i="7"/>
  <c r="F281" i="7"/>
  <c r="G281" i="7"/>
  <c r="C282" i="7"/>
  <c r="D282" i="7" l="1"/>
  <c r="E282" i="7"/>
  <c r="F282" i="7"/>
  <c r="G282" i="7"/>
  <c r="C283" i="7"/>
  <c r="D283" i="7" l="1"/>
  <c r="E283" i="7"/>
  <c r="F283" i="7"/>
  <c r="G283" i="7"/>
  <c r="C284" i="7"/>
  <c r="D284" i="7" l="1"/>
  <c r="E284" i="7"/>
  <c r="F284" i="7"/>
  <c r="G284" i="7"/>
  <c r="C285" i="7"/>
  <c r="D285" i="7" l="1"/>
  <c r="E285" i="7"/>
  <c r="F285" i="7"/>
  <c r="G285" i="7"/>
  <c r="C286" i="7"/>
  <c r="D286" i="7" l="1"/>
  <c r="E286" i="7"/>
  <c r="F286" i="7"/>
  <c r="G286" i="7"/>
  <c r="C287" i="7"/>
  <c r="D287" i="7" l="1"/>
  <c r="E287" i="7"/>
  <c r="F287" i="7"/>
  <c r="G287" i="7"/>
  <c r="C288" i="7"/>
  <c r="D288" i="7" l="1"/>
  <c r="E288" i="7"/>
  <c r="F288" i="7"/>
  <c r="G288" i="7"/>
  <c r="C289" i="7"/>
  <c r="D289" i="7" l="1"/>
  <c r="E289" i="7"/>
  <c r="F289" i="7"/>
  <c r="G289" i="7"/>
  <c r="C290" i="7"/>
  <c r="D290" i="7" l="1"/>
  <c r="E290" i="7"/>
  <c r="F290" i="7"/>
  <c r="G290" i="7"/>
  <c r="C291" i="7"/>
  <c r="D291" i="7" l="1"/>
  <c r="E291" i="7"/>
  <c r="F291" i="7"/>
  <c r="G291" i="7"/>
  <c r="C292" i="7"/>
  <c r="D292" i="7" l="1"/>
  <c r="E292" i="7"/>
  <c r="F292" i="7"/>
  <c r="G292" i="7"/>
  <c r="C293" i="7"/>
  <c r="D293" i="7" l="1"/>
  <c r="E293" i="7"/>
  <c r="F293" i="7"/>
  <c r="G293" i="7"/>
  <c r="C294" i="7"/>
  <c r="D294" i="7" l="1"/>
  <c r="E294" i="7"/>
  <c r="F294" i="7"/>
  <c r="G294" i="7"/>
  <c r="C295" i="7"/>
  <c r="D295" i="7" l="1"/>
  <c r="E295" i="7"/>
  <c r="F295" i="7"/>
  <c r="G295" i="7"/>
  <c r="C296" i="7"/>
  <c r="D296" i="7" l="1"/>
  <c r="E296" i="7"/>
  <c r="F296" i="7"/>
  <c r="G296" i="7"/>
  <c r="C297" i="7"/>
  <c r="D297" i="7" l="1"/>
  <c r="E297" i="7"/>
  <c r="F297" i="7"/>
  <c r="G297" i="7"/>
  <c r="C298" i="7"/>
  <c r="D298" i="7" l="1"/>
  <c r="E298" i="7"/>
  <c r="F298" i="7"/>
  <c r="G298" i="7"/>
  <c r="C299" i="7"/>
  <c r="D299" i="7" l="1"/>
  <c r="E299" i="7"/>
  <c r="F299" i="7"/>
  <c r="G299" i="7"/>
  <c r="C300" i="7"/>
  <c r="D300" i="7" l="1"/>
  <c r="E300" i="7"/>
  <c r="F300" i="7"/>
  <c r="G300" i="7"/>
  <c r="C301" i="7"/>
  <c r="D301" i="7" l="1"/>
  <c r="E301" i="7"/>
  <c r="F301" i="7"/>
  <c r="G301" i="7"/>
  <c r="C302" i="7"/>
  <c r="D302" i="7" l="1"/>
  <c r="E302" i="7"/>
  <c r="F302" i="7"/>
  <c r="G302" i="7"/>
  <c r="C303" i="7"/>
  <c r="D303" i="7" l="1"/>
  <c r="E303" i="7"/>
  <c r="F303" i="7"/>
  <c r="G303" i="7"/>
  <c r="C304" i="7"/>
  <c r="D304" i="7" l="1"/>
  <c r="E304" i="7"/>
  <c r="F304" i="7"/>
  <c r="G304" i="7"/>
  <c r="C305" i="7"/>
  <c r="D305" i="7" l="1"/>
  <c r="E305" i="7"/>
  <c r="F305" i="7"/>
  <c r="G305" i="7"/>
  <c r="C306" i="7"/>
  <c r="D306" i="7" l="1"/>
  <c r="E306" i="7"/>
  <c r="F306" i="7"/>
  <c r="G306" i="7"/>
  <c r="C307" i="7"/>
  <c r="D307" i="7" l="1"/>
  <c r="E307" i="7"/>
  <c r="F307" i="7"/>
  <c r="G307" i="7"/>
  <c r="C308" i="7"/>
  <c r="D308" i="7" l="1"/>
  <c r="E308" i="7"/>
  <c r="F308" i="7"/>
  <c r="G308" i="7"/>
  <c r="C309" i="7"/>
  <c r="D309" i="7" l="1"/>
  <c r="E309" i="7"/>
  <c r="F309" i="7"/>
  <c r="G309" i="7"/>
  <c r="C310" i="7"/>
  <c r="D310" i="7" l="1"/>
  <c r="E310" i="7"/>
  <c r="F310" i="7"/>
  <c r="G310" i="7"/>
  <c r="C311" i="7"/>
  <c r="D311" i="7" l="1"/>
  <c r="E311" i="7"/>
  <c r="F311" i="7"/>
  <c r="G311" i="7"/>
  <c r="C312" i="7"/>
  <c r="D312" i="7" l="1"/>
  <c r="E312" i="7"/>
  <c r="F312" i="7"/>
  <c r="G312" i="7"/>
  <c r="C313" i="7"/>
  <c r="D313" i="7" l="1"/>
  <c r="E313" i="7"/>
  <c r="F313" i="7"/>
  <c r="G313" i="7"/>
  <c r="C314" i="7"/>
  <c r="D314" i="7" l="1"/>
  <c r="E314" i="7"/>
  <c r="F314" i="7"/>
  <c r="G314" i="7"/>
  <c r="C315" i="7"/>
  <c r="D315" i="7" l="1"/>
  <c r="E315" i="7"/>
  <c r="F315" i="7"/>
  <c r="G315" i="7"/>
  <c r="C316" i="7"/>
  <c r="D316" i="7" l="1"/>
  <c r="E316" i="7"/>
  <c r="F316" i="7"/>
  <c r="G316" i="7"/>
  <c r="C317" i="7"/>
  <c r="D317" i="7" l="1"/>
  <c r="E317" i="7"/>
  <c r="F317" i="7"/>
  <c r="G317" i="7"/>
  <c r="C318" i="7"/>
  <c r="D318" i="7" l="1"/>
  <c r="E318" i="7"/>
  <c r="F318" i="7"/>
  <c r="G318" i="7"/>
  <c r="C319" i="7"/>
  <c r="D319" i="7" l="1"/>
  <c r="E319" i="7"/>
  <c r="F319" i="7"/>
  <c r="G319" i="7"/>
  <c r="C320" i="7"/>
  <c r="D320" i="7" l="1"/>
  <c r="E320" i="7"/>
  <c r="F320" i="7"/>
  <c r="G320" i="7"/>
  <c r="C321" i="7"/>
  <c r="D321" i="7" l="1"/>
  <c r="E321" i="7"/>
  <c r="F321" i="7"/>
  <c r="G321" i="7"/>
  <c r="C322" i="7"/>
  <c r="D322" i="7" l="1"/>
  <c r="E322" i="7"/>
  <c r="F322" i="7"/>
  <c r="G322" i="7"/>
  <c r="C323" i="7"/>
  <c r="D323" i="7" l="1"/>
  <c r="E323" i="7"/>
  <c r="F323" i="7"/>
  <c r="G323" i="7"/>
  <c r="C324" i="7"/>
  <c r="D324" i="7" l="1"/>
  <c r="E324" i="7"/>
  <c r="F324" i="7"/>
  <c r="G324" i="7"/>
  <c r="C325" i="7"/>
  <c r="D325" i="7" l="1"/>
  <c r="E325" i="7"/>
  <c r="F325" i="7"/>
  <c r="G325" i="7"/>
  <c r="C326" i="7"/>
  <c r="D326" i="7" l="1"/>
  <c r="E326" i="7"/>
  <c r="F326" i="7"/>
  <c r="G326" i="7"/>
  <c r="C327" i="7"/>
  <c r="D327" i="7" l="1"/>
  <c r="E327" i="7"/>
  <c r="F327" i="7"/>
  <c r="G327" i="7"/>
  <c r="C328" i="7"/>
  <c r="D328" i="7" l="1"/>
  <c r="E328" i="7"/>
  <c r="F328" i="7"/>
  <c r="G328" i="7"/>
  <c r="C329" i="7"/>
  <c r="D329" i="7" l="1"/>
  <c r="E329" i="7"/>
  <c r="F329" i="7"/>
  <c r="G329" i="7"/>
  <c r="C330" i="7"/>
  <c r="D330" i="7" l="1"/>
  <c r="E330" i="7"/>
  <c r="F330" i="7"/>
  <c r="G330" i="7"/>
  <c r="C331" i="7"/>
  <c r="D331" i="7" l="1"/>
  <c r="E331" i="7"/>
  <c r="F331" i="7"/>
  <c r="G331" i="7"/>
  <c r="C332" i="7"/>
  <c r="D332" i="7" l="1"/>
  <c r="E332" i="7"/>
  <c r="F332" i="7"/>
  <c r="G332" i="7"/>
  <c r="C333" i="7"/>
  <c r="D333" i="7" l="1"/>
  <c r="E333" i="7"/>
  <c r="F333" i="7"/>
  <c r="G333" i="7"/>
  <c r="C334" i="7"/>
  <c r="D334" i="7" l="1"/>
  <c r="E334" i="7"/>
  <c r="F334" i="7"/>
  <c r="G334" i="7"/>
  <c r="C335" i="7"/>
  <c r="D335" i="7" l="1"/>
  <c r="E335" i="7"/>
  <c r="F335" i="7"/>
  <c r="G335" i="7"/>
  <c r="C336" i="7"/>
  <c r="D336" i="7" l="1"/>
  <c r="E336" i="7"/>
  <c r="F336" i="7"/>
  <c r="G336" i="7"/>
  <c r="C337" i="7"/>
  <c r="D337" i="7" l="1"/>
  <c r="E337" i="7"/>
  <c r="F337" i="7"/>
  <c r="G337" i="7"/>
  <c r="C338" i="7"/>
  <c r="D338" i="7" l="1"/>
  <c r="E338" i="7"/>
  <c r="F338" i="7"/>
  <c r="G338" i="7"/>
  <c r="C339" i="7"/>
  <c r="D339" i="7" l="1"/>
  <c r="E339" i="7"/>
  <c r="F339" i="7"/>
  <c r="G339" i="7"/>
  <c r="C340" i="7"/>
  <c r="D340" i="7" l="1"/>
  <c r="E340" i="7"/>
  <c r="F340" i="7"/>
  <c r="G340" i="7"/>
  <c r="C341" i="7"/>
  <c r="D341" i="7" l="1"/>
  <c r="E341" i="7"/>
  <c r="F341" i="7"/>
  <c r="G341" i="7"/>
  <c r="C342" i="7"/>
  <c r="D342" i="7" l="1"/>
  <c r="E342" i="7"/>
  <c r="F342" i="7"/>
  <c r="G342" i="7"/>
  <c r="C343" i="7"/>
  <c r="D343" i="7" l="1"/>
  <c r="E343" i="7"/>
  <c r="F343" i="7"/>
  <c r="G343" i="7"/>
  <c r="C344" i="7"/>
  <c r="D344" i="7" l="1"/>
  <c r="E344" i="7"/>
  <c r="F344" i="7"/>
  <c r="G344" i="7"/>
  <c r="C345" i="7"/>
  <c r="D345" i="7" l="1"/>
  <c r="E345" i="7"/>
  <c r="F345" i="7"/>
  <c r="G345" i="7"/>
  <c r="C346" i="7"/>
  <c r="D346" i="7" l="1"/>
  <c r="E346" i="7"/>
  <c r="F346" i="7"/>
  <c r="G346" i="7"/>
  <c r="C347" i="7"/>
  <c r="D347" i="7" l="1"/>
  <c r="E347" i="7"/>
  <c r="F347" i="7"/>
  <c r="G347" i="7"/>
  <c r="C348" i="7"/>
  <c r="D348" i="7" l="1"/>
  <c r="E348" i="7"/>
  <c r="F348" i="7"/>
  <c r="G348" i="7"/>
  <c r="C349" i="7"/>
  <c r="D349" i="7" l="1"/>
  <c r="E349" i="7"/>
  <c r="F349" i="7"/>
  <c r="G349" i="7"/>
  <c r="C350" i="7"/>
  <c r="D350" i="7" l="1"/>
  <c r="E350" i="7"/>
  <c r="F350" i="7"/>
  <c r="G350" i="7"/>
  <c r="C351" i="7"/>
  <c r="D351" i="7" l="1"/>
  <c r="E351" i="7"/>
  <c r="F351" i="7"/>
  <c r="G351" i="7"/>
  <c r="C352" i="7"/>
  <c r="D352" i="7" l="1"/>
  <c r="E352" i="7"/>
  <c r="F352" i="7"/>
  <c r="G352" i="7"/>
  <c r="C353" i="7"/>
  <c r="D353" i="7" l="1"/>
  <c r="E353" i="7"/>
  <c r="F353" i="7"/>
  <c r="G353" i="7"/>
  <c r="C354" i="7"/>
  <c r="D354" i="7" l="1"/>
  <c r="E354" i="7"/>
  <c r="F354" i="7"/>
  <c r="G354" i="7"/>
  <c r="C355" i="7"/>
  <c r="D355" i="7" l="1"/>
  <c r="E355" i="7"/>
  <c r="F355" i="7"/>
  <c r="G355" i="7"/>
  <c r="C356" i="7"/>
  <c r="D356" i="7" l="1"/>
  <c r="E356" i="7"/>
  <c r="F356" i="7"/>
  <c r="G356" i="7"/>
  <c r="C357" i="7"/>
  <c r="D357" i="7" l="1"/>
  <c r="E357" i="7"/>
  <c r="F357" i="7"/>
  <c r="G357" i="7"/>
  <c r="C358" i="7"/>
  <c r="D358" i="7" l="1"/>
  <c r="E358" i="7"/>
  <c r="F358" i="7"/>
  <c r="G358" i="7"/>
  <c r="C359" i="7"/>
  <c r="D359" i="7" l="1"/>
  <c r="E359" i="7"/>
  <c r="F359" i="7"/>
  <c r="G359" i="7"/>
  <c r="C360" i="7"/>
  <c r="D360" i="7" l="1"/>
  <c r="E360" i="7"/>
  <c r="F360" i="7"/>
  <c r="G360" i="7"/>
  <c r="C361" i="7"/>
  <c r="D361" i="7" l="1"/>
  <c r="E361" i="7"/>
  <c r="F361" i="7"/>
  <c r="G361" i="7"/>
  <c r="C362" i="7"/>
  <c r="D362" i="7" l="1"/>
  <c r="E362" i="7"/>
  <c r="F362" i="7"/>
  <c r="G362" i="7"/>
  <c r="C363" i="7"/>
  <c r="D363" i="7" l="1"/>
  <c r="E363" i="7"/>
  <c r="F363" i="7"/>
  <c r="G363" i="7"/>
  <c r="C364" i="7"/>
  <c r="D364" i="7" l="1"/>
  <c r="E364" i="7"/>
  <c r="F364" i="7"/>
  <c r="G364" i="7"/>
  <c r="C365" i="7"/>
  <c r="D365" i="7" l="1"/>
  <c r="E365" i="7"/>
  <c r="F365" i="7"/>
  <c r="G365" i="7"/>
  <c r="C366" i="7"/>
  <c r="D366" i="7" l="1"/>
  <c r="E366" i="7"/>
  <c r="F366" i="7"/>
  <c r="G366" i="7"/>
  <c r="C367" i="7"/>
  <c r="D367" i="7" l="1"/>
  <c r="E367" i="7"/>
  <c r="F367" i="7"/>
  <c r="G367" i="7"/>
  <c r="C368" i="7"/>
  <c r="D368" i="7" l="1"/>
  <c r="E368" i="7"/>
  <c r="F368" i="7"/>
  <c r="G368" i="7"/>
  <c r="C369" i="7"/>
  <c r="D369" i="7" l="1"/>
  <c r="E369" i="7"/>
  <c r="F369" i="7"/>
  <c r="G369" i="7"/>
  <c r="C370" i="7"/>
  <c r="D370" i="7" l="1"/>
  <c r="E370" i="7"/>
  <c r="F370" i="7"/>
  <c r="G370" i="7"/>
  <c r="C371" i="7"/>
  <c r="D371" i="7" l="1"/>
  <c r="E371" i="7"/>
  <c r="F371" i="7"/>
  <c r="G371" i="7"/>
  <c r="C372" i="7"/>
  <c r="D372" i="7" l="1"/>
  <c r="E372" i="7"/>
  <c r="F372" i="7"/>
  <c r="G372" i="7"/>
  <c r="C373" i="7"/>
  <c r="D373" i="7" l="1"/>
  <c r="E373" i="7"/>
  <c r="F373" i="7"/>
  <c r="G373" i="7"/>
  <c r="C374" i="7"/>
  <c r="D374" i="7" l="1"/>
  <c r="E374" i="7"/>
  <c r="F374" i="7"/>
  <c r="G374" i="7"/>
  <c r="C375" i="7"/>
  <c r="D375" i="7" l="1"/>
  <c r="E375" i="7"/>
  <c r="F375" i="7"/>
  <c r="G375" i="7"/>
  <c r="C376" i="7"/>
  <c r="D376" i="7" l="1"/>
  <c r="E376" i="7"/>
  <c r="F376" i="7"/>
  <c r="G376" i="7"/>
  <c r="C377" i="7"/>
  <c r="D377" i="7" l="1"/>
  <c r="E377" i="7"/>
  <c r="F377" i="7"/>
  <c r="G377" i="7"/>
  <c r="C378" i="7"/>
  <c r="D378" i="7" l="1"/>
  <c r="E378" i="7"/>
  <c r="F378" i="7"/>
  <c r="G378" i="7"/>
  <c r="C379" i="7"/>
  <c r="D379" i="7" l="1"/>
  <c r="E379" i="7"/>
  <c r="F379" i="7"/>
  <c r="G379" i="7"/>
  <c r="C380" i="7"/>
  <c r="D380" i="7" l="1"/>
  <c r="E380" i="7"/>
  <c r="F380" i="7"/>
  <c r="G380" i="7"/>
  <c r="C381" i="7"/>
  <c r="D381" i="7" l="1"/>
  <c r="E381" i="7"/>
  <c r="F381" i="7"/>
  <c r="G381" i="7"/>
  <c r="C382" i="7"/>
  <c r="D382" i="7" l="1"/>
  <c r="E382" i="7"/>
  <c r="F382" i="7"/>
  <c r="G382" i="7"/>
  <c r="C383" i="7"/>
  <c r="D383" i="7" l="1"/>
  <c r="E383" i="7"/>
  <c r="F383" i="7"/>
  <c r="G383" i="7"/>
  <c r="C384" i="7"/>
  <c r="D384" i="7" l="1"/>
  <c r="E384" i="7"/>
  <c r="F384" i="7"/>
  <c r="G384" i="7"/>
  <c r="C385" i="7"/>
  <c r="D385" i="7" l="1"/>
  <c r="E385" i="7"/>
  <c r="F385" i="7"/>
  <c r="G385" i="7"/>
  <c r="C386" i="7"/>
  <c r="D386" i="7" l="1"/>
  <c r="E386" i="7"/>
  <c r="F386" i="7"/>
  <c r="G386" i="7"/>
  <c r="C387" i="7"/>
  <c r="D387" i="7" l="1"/>
  <c r="E387" i="7"/>
  <c r="F387" i="7"/>
  <c r="G387" i="7"/>
  <c r="C388" i="7"/>
  <c r="D388" i="7" l="1"/>
  <c r="E388" i="7"/>
  <c r="F388" i="7"/>
  <c r="G388" i="7"/>
  <c r="C389" i="7"/>
  <c r="D389" i="7" l="1"/>
  <c r="E389" i="7"/>
  <c r="F389" i="7"/>
  <c r="G389" i="7"/>
  <c r="C390" i="7"/>
  <c r="D390" i="7" l="1"/>
  <c r="E390" i="7"/>
  <c r="F390" i="7"/>
  <c r="G390" i="7"/>
  <c r="C391" i="7"/>
  <c r="D391" i="7" l="1"/>
  <c r="E391" i="7"/>
  <c r="F391" i="7"/>
  <c r="G391" i="7"/>
  <c r="C392" i="7"/>
  <c r="D392" i="7" l="1"/>
  <c r="E392" i="7"/>
  <c r="F392" i="7"/>
  <c r="G392" i="7"/>
  <c r="C393" i="7"/>
  <c r="D393" i="7" l="1"/>
  <c r="E393" i="7"/>
  <c r="F393" i="7"/>
  <c r="G393" i="7"/>
  <c r="C394" i="7"/>
  <c r="D394" i="7" l="1"/>
  <c r="E394" i="7"/>
  <c r="F394" i="7"/>
  <c r="G394" i="7"/>
  <c r="C395" i="7"/>
  <c r="D395" i="7" l="1"/>
  <c r="E395" i="7"/>
  <c r="F395" i="7"/>
  <c r="G395" i="7"/>
  <c r="C396" i="7"/>
  <c r="D396" i="7" l="1"/>
  <c r="E396" i="7"/>
  <c r="F396" i="7"/>
  <c r="G396" i="7"/>
  <c r="C397" i="7"/>
  <c r="D397" i="7" l="1"/>
  <c r="E397" i="7"/>
  <c r="F397" i="7"/>
  <c r="G397" i="7"/>
  <c r="C398" i="7"/>
  <c r="D398" i="7" l="1"/>
  <c r="E398" i="7"/>
  <c r="F398" i="7"/>
  <c r="G398" i="7"/>
  <c r="C399" i="7"/>
  <c r="D399" i="7" l="1"/>
  <c r="G4" i="7" s="1"/>
  <c r="E399" i="7"/>
  <c r="G5" i="7" s="1"/>
  <c r="F399" i="7"/>
  <c r="G399" i="7"/>
</calcChain>
</file>

<file path=xl/sharedStrings.xml><?xml version="1.0" encoding="utf-8"?>
<sst xmlns="http://schemas.openxmlformats.org/spreadsheetml/2006/main" count="446" uniqueCount="274">
  <si>
    <t>TIR Nominal (con IVA)</t>
  </si>
  <si>
    <t xml:space="preserve">TIR Modificada </t>
  </si>
  <si>
    <t>VAN</t>
  </si>
  <si>
    <t>(VAFF / VAE)</t>
  </si>
  <si>
    <t>PAYBACK en Años (flujo acumulado positivo)</t>
  </si>
  <si>
    <t>HIPOTESIS OPERATIVAS</t>
  </si>
  <si>
    <t>HIPOTESIS FINANCIERAS</t>
  </si>
  <si>
    <t xml:space="preserve"> CHECKS</t>
  </si>
  <si>
    <t>Fechas</t>
  </si>
  <si>
    <t>Egresos Totales (sin IVA)</t>
  </si>
  <si>
    <t>%</t>
  </si>
  <si>
    <t>Ingresos Totales (sin IVA)</t>
  </si>
  <si>
    <t>Errores</t>
  </si>
  <si>
    <t>Escenario Plazos</t>
  </si>
  <si>
    <t>Obras</t>
  </si>
  <si>
    <t>Ingresos por Peajes</t>
  </si>
  <si>
    <t>Check Payout</t>
  </si>
  <si>
    <t xml:space="preserve">Escenario 15 años </t>
  </si>
  <si>
    <t>Repavimentaciones</t>
  </si>
  <si>
    <t>Disposición de Deuda</t>
  </si>
  <si>
    <t>Total de Cuotas</t>
  </si>
  <si>
    <t xml:space="preserve">Escenario 20 años </t>
  </si>
  <si>
    <t>OPEX</t>
  </si>
  <si>
    <t>Total Origen de fondos</t>
  </si>
  <si>
    <t>Tasa de Descuento VAN</t>
  </si>
  <si>
    <t>Toma de Posesión</t>
  </si>
  <si>
    <t>Deuda de Largo Plazo</t>
  </si>
  <si>
    <t>Check Amortizaciones</t>
  </si>
  <si>
    <t>Fin del Contrato</t>
  </si>
  <si>
    <t>Gastos Garantias</t>
  </si>
  <si>
    <t>Variantes de Amortización</t>
  </si>
  <si>
    <t>Impuestos</t>
  </si>
  <si>
    <t>Obras en 20 años y Rep. en 5 años</t>
  </si>
  <si>
    <t>Tránsitos (BASE 2026)</t>
  </si>
  <si>
    <t>Total necesidades de financiación</t>
  </si>
  <si>
    <t>Obras y Repavimentaciones en 5 años</t>
  </si>
  <si>
    <t>UTEQUIS</t>
  </si>
  <si>
    <t>Instantanea (en el año de ejecución)</t>
  </si>
  <si>
    <t>Tasa de Descuento para Cálculo de VAN</t>
  </si>
  <si>
    <t>&lt;- UTEQUIS peajes adicionales (FLUJO fila 74). Dejar en 0 si no hay.</t>
  </si>
  <si>
    <t>Tarifas</t>
  </si>
  <si>
    <t xml:space="preserve">Tarifa </t>
  </si>
  <si>
    <t>Importe del Crédito</t>
  </si>
  <si>
    <t>Porcentaje de Deuda sobre Obras+Rep</t>
  </si>
  <si>
    <t>Tasa (TNA)</t>
  </si>
  <si>
    <t>Sensibilidades</t>
  </si>
  <si>
    <t>Cuota (anual)</t>
  </si>
  <si>
    <t>Sensibilidad Inversión CAPEX</t>
  </si>
  <si>
    <t>Obras Obligatorias</t>
  </si>
  <si>
    <t>Sistemas de Amortización</t>
  </si>
  <si>
    <t>Gastos Repavimentación</t>
  </si>
  <si>
    <t>Frances</t>
  </si>
  <si>
    <t>Sensibilidad OPEX</t>
  </si>
  <si>
    <t>Alemán</t>
  </si>
  <si>
    <t xml:space="preserve">Conservación y Mantenimiento </t>
  </si>
  <si>
    <t>Año de GRACIA</t>
  </si>
  <si>
    <t>si</t>
  </si>
  <si>
    <t>Atención al Usuario</t>
  </si>
  <si>
    <t>Administración</t>
  </si>
  <si>
    <t>Explotación</t>
  </si>
  <si>
    <t>Sensibilidad Incremento del Tránsito Annual</t>
  </si>
  <si>
    <t>GARANTIA A PRIMER REQUERIMIENTO</t>
  </si>
  <si>
    <t>Sensibilidad Nuevos Peajes año 2028 (año 2)</t>
  </si>
  <si>
    <t>Sensibilidad Nuevos Peajes año 2029 (año 3)</t>
  </si>
  <si>
    <t>Tipo de Garantía</t>
  </si>
  <si>
    <t>Monto Garantizado</t>
  </si>
  <si>
    <t>Costo %</t>
  </si>
  <si>
    <t>Sensibilidad Nuevos Peajes año 2030 (año 4)</t>
  </si>
  <si>
    <t>Contrato (CAPEX)</t>
  </si>
  <si>
    <t>Sensibilidad Nuevos Peajes año 2031 (año 5)</t>
  </si>
  <si>
    <t>Obras (OPEX)            1 a 5 años</t>
  </si>
  <si>
    <t xml:space="preserve">          6 a 20 años</t>
  </si>
  <si>
    <t>Ingresos Brutos</t>
  </si>
  <si>
    <t>Costo Anual</t>
  </si>
  <si>
    <t>Total Concesión</t>
  </si>
  <si>
    <t>Impuesto a las Ganancias</t>
  </si>
  <si>
    <t>(CAPEX + OPEX)      1 a 5 años</t>
  </si>
  <si>
    <t>Impuesto al Débito y Crédito Bancario</t>
  </si>
  <si>
    <t xml:space="preserve"> 6 a 20 años</t>
  </si>
  <si>
    <t>IVA</t>
  </si>
  <si>
    <t>IVA OPEX</t>
  </si>
  <si>
    <t>POLIZA DE SEGURO DE CAUCIÓN</t>
  </si>
  <si>
    <t>IVA  (Conservación y Mantenimiento)</t>
  </si>
  <si>
    <t>IVA  (Atención al Usuario)</t>
  </si>
  <si>
    <t>IVA  (Administración)</t>
  </si>
  <si>
    <t>IVA  (Explotación)</t>
  </si>
  <si>
    <t>Contrato                      1 a 5 años</t>
  </si>
  <si>
    <t>IVA CAPEX</t>
  </si>
  <si>
    <t xml:space="preserve">             6 a 20 años</t>
  </si>
  <si>
    <t>Impuesto de Sellos</t>
  </si>
  <si>
    <t>Tasas Municipales</t>
  </si>
  <si>
    <t>Porcentaje de la Inversión que se Amortiza</t>
  </si>
  <si>
    <t>Porcentaje deducción de Intereses en IIGG</t>
  </si>
  <si>
    <t xml:space="preserve">           6 a 20 años</t>
  </si>
  <si>
    <t>Vida útil Repavimentación (años)</t>
  </si>
  <si>
    <t>Vida útil Obras en variante "5 años" (años)</t>
  </si>
  <si>
    <t xml:space="preserve">F L U J O  D E  F O N D O S   P R O Y E C T O   </t>
  </si>
  <si>
    <t>1 de junio 2026</t>
  </si>
  <si>
    <t>Año de Concesión</t>
  </si>
  <si>
    <t xml:space="preserve">Días del Año </t>
  </si>
  <si>
    <t>Días del Año (Operación)</t>
  </si>
  <si>
    <t>Días del Año (Construcción)</t>
  </si>
  <si>
    <t>Factor de Ingresos</t>
  </si>
  <si>
    <t>Factor de Operación</t>
  </si>
  <si>
    <t>Factor de Construcción</t>
  </si>
  <si>
    <t>Tránsitos Crecimiento Anual</t>
  </si>
  <si>
    <t>TOTAL</t>
  </si>
  <si>
    <t>INGRESOS (con IVA)</t>
  </si>
  <si>
    <t>Ingresos Peajes y Otros</t>
  </si>
  <si>
    <t>Peajes</t>
  </si>
  <si>
    <t>Otros Ingresos</t>
  </si>
  <si>
    <t>Ingresos Crédito LP</t>
  </si>
  <si>
    <t>TOTAL INGRESOS</t>
  </si>
  <si>
    <t>OPEX (con IVA)</t>
  </si>
  <si>
    <t>Amortización de la deuda</t>
  </si>
  <si>
    <t>TOTAL OPEX</t>
  </si>
  <si>
    <t>RESULTADO OPERATIVO</t>
  </si>
  <si>
    <t>CAPEX</t>
  </si>
  <si>
    <t>Obras de Puesta en Valor</t>
  </si>
  <si>
    <t>TOTAL CAPEX</t>
  </si>
  <si>
    <t>GARANTÍAS</t>
  </si>
  <si>
    <t>Total Egresos (con IVA)</t>
  </si>
  <si>
    <t>FLUJO NETO (INGRESOS - EGRESOS) (I-E)</t>
  </si>
  <si>
    <t>(I-E) ACUMULADO</t>
  </si>
  <si>
    <t>TIR (Nominal)</t>
  </si>
  <si>
    <t>RETORNO                                                   (VAN FLUJO NETO / VAN EGRESOS)</t>
  </si>
  <si>
    <t>Relación VAI/VAE</t>
  </si>
  <si>
    <t>PAYBACK (año desde el que el flujo acumulado queda positivo)</t>
  </si>
  <si>
    <t>PERIODO DE CONCESIÓN</t>
  </si>
  <si>
    <t>Ingresos Peajes</t>
  </si>
  <si>
    <t>Peajes adicionales</t>
  </si>
  <si>
    <t xml:space="preserve">Total Ingresos </t>
  </si>
  <si>
    <t>IVA Saldo a Pagar</t>
  </si>
  <si>
    <t>Impuesto a los Ingresos Brutos</t>
  </si>
  <si>
    <t>Impuestos Municipales</t>
  </si>
  <si>
    <t>Impuesto a los Débitos y Créditos</t>
  </si>
  <si>
    <t>Subtotal Egresos</t>
  </si>
  <si>
    <t>Resultado Operativo</t>
  </si>
  <si>
    <t>FLUJO NETO</t>
  </si>
  <si>
    <t>FLUJO NETO ACUMULADO</t>
  </si>
  <si>
    <t>TIR (Nominal) (con IVA)</t>
  </si>
  <si>
    <t>VAN/VAE</t>
  </si>
  <si>
    <t>PAYOUT en Años (flujo acumulado positivo definitivo)</t>
  </si>
  <si>
    <t>Tarifa</t>
  </si>
  <si>
    <t>Sin uso</t>
  </si>
  <si>
    <t>UTEQUIS peajes adicionales</t>
  </si>
  <si>
    <t>Monto del Crédito</t>
  </si>
  <si>
    <t>TASA (TNA)</t>
  </si>
  <si>
    <t>PLAZO (AÑOS)</t>
  </si>
  <si>
    <t>Sensibilidad Obras Obligatorias</t>
  </si>
  <si>
    <t>Sensibilidad Gastos de Repavimentación</t>
  </si>
  <si>
    <t>Obras de Puesta en Valor + Obrador + Construcción Puestos</t>
  </si>
  <si>
    <t>Repavimentación Inicial + Obras Obligatorias</t>
  </si>
  <si>
    <t>CAPEX TOTAL</t>
  </si>
  <si>
    <t>AMORTIZACION en 5 Años (vida útil en CONTROL) tanto las Obras como para las Repavimentaciones</t>
  </si>
  <si>
    <t xml:space="preserve">           CONCEPTO</t>
  </si>
  <si>
    <t>Año 1</t>
  </si>
  <si>
    <t>Año 2</t>
  </si>
  <si>
    <t>Año 3</t>
  </si>
  <si>
    <t>Año 4</t>
  </si>
  <si>
    <t>Año 5</t>
  </si>
  <si>
    <t>Año 6</t>
  </si>
  <si>
    <t>Año 7</t>
  </si>
  <si>
    <t>Año 8</t>
  </si>
  <si>
    <t>Año 9</t>
  </si>
  <si>
    <t>Año 10</t>
  </si>
  <si>
    <t>Año 11</t>
  </si>
  <si>
    <t>Año 12</t>
  </si>
  <si>
    <t>Año 13</t>
  </si>
  <si>
    <t>Año 14</t>
  </si>
  <si>
    <t>Año 15</t>
  </si>
  <si>
    <t>Año 16</t>
  </si>
  <si>
    <t>Año 17</t>
  </si>
  <si>
    <t>Año 18</t>
  </si>
  <si>
    <t>Año 19</t>
  </si>
  <si>
    <t>Año 20</t>
  </si>
  <si>
    <t>Año de concesión (n°)</t>
  </si>
  <si>
    <t>INVERSIONES (SIN IVA)</t>
  </si>
  <si>
    <t>PERIODOS</t>
  </si>
  <si>
    <t>Cálculo integrado en la fila TOTAL (cada inversión se amortiza en sus períodos, sin pasar el fin de la concesión)</t>
  </si>
  <si>
    <t>TOTAL AMORTIZACIÓN OBRAS</t>
  </si>
  <si>
    <t>REPAVIMENTACIONES (SIN IVA)</t>
  </si>
  <si>
    <t>TOTAL AMORTIZACIÓN REPAVIMENTACION</t>
  </si>
  <si>
    <t>AMORTIZACION ANNUAL TOTAL</t>
  </si>
  <si>
    <t>AMORT. ANUAL ACUM.</t>
  </si>
  <si>
    <t>AMORTIZACION de las Obras en el plazo restante de la Concesión y de las Repavimentaciones en su vida útil</t>
  </si>
  <si>
    <t>AMORTIZACION INSTANTANEA (SE AMORTIZA EL 100% DE SU VALOR EL MISMO AÑO DE EJECUCIÓN)</t>
  </si>
  <si>
    <t>FLUJO CAPEX - OPEX</t>
  </si>
  <si>
    <t>AÑO</t>
  </si>
  <si>
    <t>Año 2027</t>
  </si>
  <si>
    <t>Año 2028</t>
  </si>
  <si>
    <t>Año 2029</t>
  </si>
  <si>
    <t>Año 2030</t>
  </si>
  <si>
    <t>Año 2031</t>
  </si>
  <si>
    <t>Año 2032</t>
  </si>
  <si>
    <t>Año 2033</t>
  </si>
  <si>
    <t>Año 2034</t>
  </si>
  <si>
    <t>Año 2035</t>
  </si>
  <si>
    <t>Año 2036</t>
  </si>
  <si>
    <t>Año 2037</t>
  </si>
  <si>
    <t>Año 2038</t>
  </si>
  <si>
    <t>Año 2039</t>
  </si>
  <si>
    <t>Año 2040</t>
  </si>
  <si>
    <t>Año 2041</t>
  </si>
  <si>
    <t>Año 2042</t>
  </si>
  <si>
    <t>Año 2043</t>
  </si>
  <si>
    <t>Año 2044</t>
  </si>
  <si>
    <t>Año 2045</t>
  </si>
  <si>
    <t>Año 2046</t>
  </si>
  <si>
    <t>TOTALES</t>
  </si>
  <si>
    <t>OBRAS</t>
  </si>
  <si>
    <t>REPAVIMENTACION</t>
  </si>
  <si>
    <t>TOTAL OBRAS</t>
  </si>
  <si>
    <t xml:space="preserve">OPERACIÓN </t>
  </si>
  <si>
    <t>MANTENIMIENTO</t>
  </si>
  <si>
    <t>SERVICIOS AL USUARIO</t>
  </si>
  <si>
    <t>ADMINISTRACION</t>
  </si>
  <si>
    <t>TOTAL OPERACIÓN Y MANTENIMIENTO</t>
  </si>
  <si>
    <t>Sensibilidad CyM</t>
  </si>
  <si>
    <t>Sensibilidad At. al Usuario</t>
  </si>
  <si>
    <t>Sensibilidad Administración</t>
  </si>
  <si>
    <t>Sensibilidad Explotación</t>
  </si>
  <si>
    <t>OPEX  TOTAL</t>
  </si>
  <si>
    <t>Saldo a amortizar (con gracia incluye interés capitalizado del año 1)</t>
  </si>
  <si>
    <t>Resumen:</t>
  </si>
  <si>
    <t>TNA (30/360)</t>
  </si>
  <si>
    <t>Valor préstamo</t>
  </si>
  <si>
    <t>Años</t>
  </si>
  <si>
    <t>Suma de Cuotas</t>
  </si>
  <si>
    <t>Frecuencia de Pago</t>
  </si>
  <si>
    <t>Anual</t>
  </si>
  <si>
    <t>Suma de Interés</t>
  </si>
  <si>
    <t>Interés equivalente</t>
  </si>
  <si>
    <t>N° de pagos por año</t>
  </si>
  <si>
    <t>N° Total de Cuotas</t>
  </si>
  <si>
    <t>Gastos Administrativos</t>
  </si>
  <si>
    <t>Número de Cuota</t>
  </si>
  <si>
    <t>CUOTA A PAGAR</t>
  </si>
  <si>
    <t>INTERÉS</t>
  </si>
  <si>
    <t>CAPITAL AMORTIZADO</t>
  </si>
  <si>
    <t>CAPITAL VIVO</t>
  </si>
  <si>
    <t>IVA contenido en intereses (informativo)</t>
  </si>
  <si>
    <t>Art. 85 de la Ley del Impuesto a las Ganancias. En el caso de los sujetos comprendidos en el artículo 53, los intereses de deudas de carácter financiero —excluyéndose, en consecuencia, las deudas generadas por adquisiciones de bienes, locaciones y prestaciones de servicios relacionados con el giro del negocio— contraídos con sujetos, residentes o no en la REPÚBLICA ARGENTINA, vinculados en los términos del artículo 18 de esta ley, serán deducibles del balance impositivo al que corresponda su imputación, no pudiendo superar tal deducción el monto anual que al respecto establezca el PODER EJECUTIVO NACIONAL o el equivalente al TREINTA POR CIENTO (30 %) de la ganancia neta del ejercicio que resulte antes de deducir tanto los intereses a los que alude este párrafo como las amortizaciones previstas en esta ley, el que resulte mayor.</t>
  </si>
  <si>
    <t>Factor de Construcción I</t>
  </si>
  <si>
    <t>Factor de Construcción II</t>
  </si>
  <si>
    <t>Factor de Construcción III</t>
  </si>
  <si>
    <t>INGRESOS (sin IVA)</t>
  </si>
  <si>
    <t>Peajes existentes</t>
  </si>
  <si>
    <t>Peajes nuevos</t>
  </si>
  <si>
    <t>Ingresos Deuda LP</t>
  </si>
  <si>
    <t xml:space="preserve">OPEX </t>
  </si>
  <si>
    <t>INGRESOS BRUTOS</t>
  </si>
  <si>
    <t>Impuesto al Crédito</t>
  </si>
  <si>
    <t>Impuesto D/C</t>
  </si>
  <si>
    <t>GANANCIAS</t>
  </si>
  <si>
    <t>TOTAL IMPUESTOS</t>
  </si>
  <si>
    <t>CPI</t>
  </si>
  <si>
    <t>BALANCE IVA</t>
  </si>
  <si>
    <t>IVA CREDITO</t>
  </si>
  <si>
    <t>IVA DEBITO</t>
  </si>
  <si>
    <t>POSICION IVA</t>
  </si>
  <si>
    <t>IVA ACUMULADO</t>
  </si>
  <si>
    <t>PAGO IVA</t>
  </si>
  <si>
    <t>IMPUESTO A LAS GANANCIAS</t>
  </si>
  <si>
    <t>INGRESOS</t>
  </si>
  <si>
    <t>AMORTIZACION</t>
  </si>
  <si>
    <t>GASTOS</t>
  </si>
  <si>
    <t>IMPUESTOS</t>
  </si>
  <si>
    <t>BASE IMPONIBLE antes de Intereses y Amortizaciones</t>
  </si>
  <si>
    <t>Calculo Intereses Deducibles Prestamo I</t>
  </si>
  <si>
    <t>Calculo Intereses Deducibles Prestamo II</t>
  </si>
  <si>
    <t>BASE IMPONIBLE</t>
  </si>
  <si>
    <t>B.I.ACUMULADA</t>
  </si>
  <si>
    <t>IMPUESTO A PAGAR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</si>
</sst>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164" formatCode="&quot;$ &quot;#,##0"/>
    <numFmt numFmtId="165" formatCode="#,##0_ ;\-#,##0\ "/>
    <numFmt numFmtId="166" formatCode="[$$-240A]\ #,##0_ ;[Red]\-[$$-240A]\ #,##0\ "/>
    <numFmt numFmtId="167" formatCode="0&quot; Meses&quot;"/>
    <numFmt numFmtId="168" formatCode="[$-C0A]mmmm\-yy;@"/>
    <numFmt numFmtId="169" formatCode="[$-C0A]d\-mmm\-yy;@"/>
    <numFmt numFmtId="170" formatCode="_-* #,##0.0\ _€_-;\-* #,##0.0\ _€_-;_-* \-??\ _€_-;_-@_-"/>
    <numFmt numFmtId="171" formatCode="0&quot; Años&quot;"/>
    <numFmt numFmtId="172" formatCode="&quot;Año &quot;0"/>
    <numFmt numFmtId="173" formatCode="#,##0.00000"/>
    <numFmt numFmtId="174" formatCode="0.0%"/>
    <numFmt numFmtId="175" formatCode="dd/mm/yyyy"/>
    <numFmt numFmtId="176" formatCode="#,##0_ ;[Red]\-#,##0\ "/>
    <numFmt numFmtId="177" formatCode="0.000"/>
    <numFmt numFmtId="178" formatCode="_(\$* #,##0.00_);_(\$* \(#,##0.00\);_(\$* \-??_);_(@_)"/>
    <numFmt numFmtId="179" formatCode="0.000000000E+00"/>
    <numFmt numFmtId="180" formatCode="0.0000"/>
    <numFmt numFmtId="181" formatCode="#,##0.000_);\(#,##0.000\)"/>
    <numFmt numFmtId="182" formatCode="#,##0.000000"/>
    <numFmt numFmtId="183" formatCode="\$#,##0"/>
    <numFmt numFmtId="184" formatCode="_-[$$-409]* #,##0.00_ ;_-[$$-409]* \-#,##0.00\ ;_-[$$-409]* \-??_ ;_-@_ "/>
    <numFmt numFmtId="185" formatCode="_ * #,##0.00_ ;_ * \-#,##0.00_ ;_ * \-??_ ;_ @_ "/>
    <numFmt numFmtId="186" formatCode="_ &quot;$ &quot;* #,##0_ ;_ &quot;$ &quot;* \-#,##0_ ;_ &quot;$ &quot;* \-??_ ;_ @_ "/>
    <numFmt numFmtId="187" formatCode="_-* #,##0.00_-;\-* #,##0.00_-;_-* \-??_-;_-@_-"/>
    <numFmt numFmtId="188" formatCode="&quot;$ &quot;#,##0.00"/>
    <numFmt numFmtId="189" formatCode="_(\$* #,##0_);_(\$* \(#,##0\);_(\$* \-??_);_(@_)"/>
    <numFmt numFmtId="190" formatCode="#,##0.0"/>
    <numFmt numFmtId="191" formatCode="_ &quot;$ &quot;* #,##0.00_ ;_ &quot;$ &quot;* \-#,##0.00_ ;_ &quot;$ &quot;* \-??_ ;_ @_ "/>
  </numFmts>
  <fonts count="64" x14ac:knownFonts="1">
    <font>
      <sz val="11"/>
      <color theme="1"/>
      <name val="Calibri"/>
      <family val="2"/>
      <charset val="1"/>
    </font>
    <font>
      <sz val="12"/>
      <name val="Arial"/>
      <family val="2"/>
      <charset val="1"/>
    </font>
    <font>
      <sz val="10"/>
      <color rgb="FF000000"/>
      <name val="Calibri"/>
      <family val="1"/>
      <charset val="1"/>
    </font>
    <font>
      <sz val="10"/>
      <color rgb="FF000000"/>
      <name val="Times New Roman"/>
      <family val="1"/>
      <charset val="1"/>
    </font>
    <font>
      <sz val="10"/>
      <name val="Arial"/>
      <family val="2"/>
      <charset val="1"/>
    </font>
    <font>
      <sz val="10"/>
      <color rgb="FF000000"/>
      <name val="Arial"/>
      <family val="2"/>
      <charset val="1"/>
    </font>
    <font>
      <sz val="11"/>
      <color theme="1"/>
      <name val="Arial"/>
      <family val="2"/>
      <charset val="1"/>
    </font>
    <font>
      <b/>
      <sz val="10"/>
      <color rgb="FF000000"/>
      <name val="Arial"/>
      <family val="2"/>
      <charset val="1"/>
    </font>
    <font>
      <b/>
      <sz val="10"/>
      <color rgb="FF002060"/>
      <name val="Arial"/>
      <family val="2"/>
      <charset val="1"/>
    </font>
    <font>
      <b/>
      <sz val="10"/>
      <color theme="0"/>
      <name val="Arial"/>
      <family val="2"/>
      <charset val="1"/>
    </font>
    <font>
      <b/>
      <sz val="10"/>
      <color rgb="FFFFFFFF"/>
      <name val="Arial"/>
      <family val="2"/>
      <charset val="1"/>
    </font>
    <font>
      <b/>
      <sz val="10"/>
      <name val="Arial"/>
      <family val="2"/>
      <charset val="1"/>
    </font>
    <font>
      <b/>
      <sz val="10"/>
      <color rgb="FF333399"/>
      <name val="Arial"/>
      <family val="2"/>
      <charset val="1"/>
    </font>
    <font>
      <sz val="10"/>
      <color theme="0"/>
      <name val="Arial"/>
      <family val="2"/>
      <charset val="1"/>
    </font>
    <font>
      <b/>
      <sz val="10"/>
      <color rgb="FF003366"/>
      <name val="Arial"/>
      <family val="2"/>
      <charset val="1"/>
    </font>
    <font>
      <b/>
      <sz val="10"/>
      <color rgb="FF000000"/>
      <name val="Calibri"/>
      <family val="1"/>
      <charset val="1"/>
    </font>
    <font>
      <b/>
      <sz val="10"/>
      <color rgb="FF666699"/>
      <name val="Arial"/>
      <family val="2"/>
      <charset val="1"/>
    </font>
    <font>
      <sz val="10"/>
      <color rgb="FF003366"/>
      <name val="Arial"/>
      <family val="2"/>
      <charset val="1"/>
    </font>
    <font>
      <i/>
      <sz val="8"/>
      <name val="Arial"/>
      <family val="2"/>
    </font>
    <font>
      <sz val="10"/>
      <color rgb="FF002060"/>
      <name val="Arial"/>
      <family val="2"/>
      <charset val="1"/>
    </font>
    <font>
      <sz val="10"/>
      <color rgb="FFFFFFFF"/>
      <name val="Arial"/>
      <family val="2"/>
      <charset val="1"/>
    </font>
    <font>
      <sz val="8"/>
      <color theme="1"/>
      <name val="Arial"/>
      <family val="2"/>
      <charset val="1"/>
    </font>
    <font>
      <b/>
      <sz val="8"/>
      <color theme="8" tint="-0.499984740745262"/>
      <name val="Arial"/>
      <family val="2"/>
      <charset val="1"/>
    </font>
    <font>
      <b/>
      <sz val="10"/>
      <color rgb="FFFF0000"/>
      <name val="Arial"/>
      <family val="2"/>
      <charset val="1"/>
    </font>
    <font>
      <i/>
      <sz val="10"/>
      <color rgb="FFFF0000"/>
      <name val="Arial"/>
      <family val="2"/>
      <charset val="1"/>
    </font>
    <font>
      <sz val="10"/>
      <color theme="1"/>
      <name val="Arial"/>
      <family val="2"/>
      <charset val="1"/>
    </font>
    <font>
      <b/>
      <sz val="12"/>
      <color theme="0"/>
      <name val="Arial"/>
      <family val="2"/>
      <charset val="1"/>
    </font>
    <font>
      <b/>
      <sz val="11"/>
      <color rgb="FF002060"/>
      <name val="Arial"/>
      <family val="2"/>
      <charset val="1"/>
    </font>
    <font>
      <b/>
      <sz val="12"/>
      <name val="Arial"/>
      <family val="2"/>
      <charset val="1"/>
    </font>
    <font>
      <b/>
      <sz val="10"/>
      <color theme="1"/>
      <name val="Arial"/>
      <family val="2"/>
      <charset val="1"/>
    </font>
    <font>
      <sz val="12"/>
      <color theme="1"/>
      <name val="Arial"/>
      <family val="2"/>
      <charset val="1"/>
    </font>
    <font>
      <b/>
      <sz val="12"/>
      <color theme="1"/>
      <name val="Arial"/>
      <family val="2"/>
      <charset val="1"/>
    </font>
    <font>
      <sz val="11"/>
      <name val="Arial"/>
      <family val="2"/>
      <charset val="1"/>
    </font>
    <font>
      <sz val="10"/>
      <color rgb="FFFF0000"/>
      <name val="Arial"/>
      <family val="2"/>
      <charset val="1"/>
    </font>
    <font>
      <b/>
      <sz val="11"/>
      <name val="Arial"/>
      <family val="2"/>
      <charset val="1"/>
    </font>
    <font>
      <b/>
      <sz val="11"/>
      <color theme="1"/>
      <name val="Calibri"/>
      <family val="2"/>
      <charset val="1"/>
    </font>
    <font>
      <b/>
      <sz val="14"/>
      <name val="Arial"/>
      <family val="2"/>
      <charset val="1"/>
    </font>
    <font>
      <b/>
      <sz val="11"/>
      <color rgb="FF002060"/>
      <name val="Calibri"/>
      <family val="2"/>
      <charset val="1"/>
    </font>
    <font>
      <sz val="11"/>
      <color theme="2" tint="-0.749992370372631"/>
      <name val="Calibri"/>
      <family val="2"/>
      <charset val="1"/>
    </font>
    <font>
      <sz val="11"/>
      <name val="Calibri"/>
      <family val="2"/>
      <charset val="1"/>
    </font>
    <font>
      <sz val="11"/>
      <color rgb="FF002060"/>
      <name val="Calibri"/>
      <family val="2"/>
      <charset val="1"/>
    </font>
    <font>
      <i/>
      <sz val="11"/>
      <color theme="0" tint="-0.499984740745262"/>
      <name val="Calibri"/>
      <family val="2"/>
      <charset val="1"/>
    </font>
    <font>
      <i/>
      <sz val="11"/>
      <name val="Calibri"/>
      <family val="2"/>
      <charset val="1"/>
    </font>
    <font>
      <sz val="11"/>
      <color theme="0" tint="-0.34998626667073579"/>
      <name val="Calibri"/>
      <family val="2"/>
      <charset val="1"/>
    </font>
    <font>
      <sz val="11"/>
      <color rgb="FF1C81F0"/>
      <name val="Calibri"/>
      <family val="2"/>
      <charset val="1"/>
    </font>
    <font>
      <sz val="11.3"/>
      <color theme="1"/>
      <name val="Calibri"/>
      <family val="2"/>
      <charset val="1"/>
    </font>
    <font>
      <sz val="11"/>
      <color theme="0" tint="-0.499984740745262"/>
      <name val="Calibri"/>
      <family val="2"/>
      <charset val="1"/>
    </font>
    <font>
      <b/>
      <sz val="11"/>
      <name val="Calibri"/>
      <family val="2"/>
      <charset val="1"/>
    </font>
    <font>
      <b/>
      <sz val="11"/>
      <color theme="0"/>
      <name val="Calibri"/>
      <family val="2"/>
      <charset val="1"/>
    </font>
    <font>
      <u/>
      <sz val="11"/>
      <color theme="10"/>
      <name val="Calibri"/>
      <family val="2"/>
      <charset val="1"/>
    </font>
    <font>
      <sz val="9"/>
      <name val="Arial"/>
      <family val="2"/>
      <charset val="1"/>
    </font>
    <font>
      <sz val="9"/>
      <color rgb="FF000000"/>
      <name val="Arial"/>
      <family val="2"/>
      <charset val="1"/>
    </font>
    <font>
      <b/>
      <sz val="9"/>
      <color rgb="FF000000"/>
      <name val="Arial"/>
      <family val="2"/>
      <charset val="1"/>
    </font>
    <font>
      <sz val="9"/>
      <color theme="1"/>
      <name val="Arial"/>
      <family val="2"/>
      <charset val="1"/>
    </font>
    <font>
      <b/>
      <sz val="9"/>
      <color theme="1"/>
      <name val="Arial"/>
      <family val="2"/>
      <charset val="1"/>
    </font>
    <font>
      <b/>
      <sz val="9"/>
      <color rgb="FF002060"/>
      <name val="Arial"/>
      <family val="2"/>
      <charset val="1"/>
    </font>
    <font>
      <b/>
      <sz val="9"/>
      <name val="Arial"/>
      <family val="2"/>
      <charset val="1"/>
    </font>
    <font>
      <sz val="11"/>
      <color theme="1"/>
      <name val="Calibri"/>
      <family val="2"/>
      <charset val="1"/>
    </font>
    <font>
      <sz val="10"/>
      <name val="Arial"/>
      <family val="2"/>
    </font>
    <font>
      <sz val="11"/>
      <color indexed="17"/>
      <name val="Calibri"/>
      <family val="2"/>
    </font>
    <font>
      <sz val="11"/>
      <color indexed="60"/>
      <name val="Calibri"/>
      <family val="2"/>
    </font>
    <font>
      <b/>
      <sz val="15"/>
      <color indexed="56"/>
      <name val="Calibri"/>
      <family val="2"/>
    </font>
    <font>
      <b/>
      <sz val="11"/>
      <color indexed="8"/>
      <name val="Calibri"/>
      <family val="2"/>
    </font>
    <font>
      <i/>
      <sz val="8"/>
      <name val="Arial"/>
      <family val="2"/>
    </font>
  </fonts>
  <fills count="25">
    <fill>
      <patternFill patternType="none"/>
    </fill>
    <fill>
      <patternFill patternType="gray125"/>
    </fill>
    <fill>
      <patternFill patternType="solid">
        <fgColor theme="3" tint="0.79979857783745845"/>
        <bgColor rgb="FFD6DCDA"/>
      </patternFill>
    </fill>
    <fill>
      <patternFill patternType="solid">
        <fgColor rgb="FFF8CBAD"/>
        <bgColor rgb="FFD9D9D9"/>
      </patternFill>
    </fill>
    <fill>
      <patternFill patternType="solid">
        <fgColor theme="0"/>
        <bgColor rgb="FFF2F2F2"/>
      </patternFill>
    </fill>
    <fill>
      <patternFill patternType="solid">
        <fgColor rgb="FF003366"/>
        <bgColor rgb="FF002060"/>
      </patternFill>
    </fill>
    <fill>
      <patternFill patternType="solid">
        <fgColor rgb="FF99CC00"/>
        <bgColor rgb="FF92D050"/>
      </patternFill>
    </fill>
    <fill>
      <patternFill patternType="solid">
        <fgColor rgb="FF002060"/>
        <bgColor rgb="FF003366"/>
      </patternFill>
    </fill>
    <fill>
      <patternFill patternType="solid">
        <fgColor rgb="FFC0C0C0"/>
        <bgColor rgb="FFBFBFBF"/>
      </patternFill>
    </fill>
    <fill>
      <patternFill patternType="solid">
        <fgColor theme="0" tint="-0.14999847407452621"/>
        <bgColor rgb="FFD6DCDA"/>
      </patternFill>
    </fill>
    <fill>
      <patternFill patternType="solid">
        <fgColor rgb="FFC5D9F1"/>
        <bgColor rgb="FFD6DCE5"/>
      </patternFill>
    </fill>
    <fill>
      <patternFill patternType="solid">
        <fgColor theme="4" tint="0.79979857783745845"/>
        <bgColor rgb="FFD6DCE5"/>
      </patternFill>
    </fill>
    <fill>
      <patternFill patternType="solid">
        <fgColor theme="0" tint="-4.9989318521683403E-2"/>
        <bgColor rgb="FFFFFFFF"/>
      </patternFill>
    </fill>
    <fill>
      <patternFill patternType="solid">
        <fgColor rgb="FFD6DCDA"/>
        <bgColor rgb="FFD9D9D9"/>
      </patternFill>
    </fill>
    <fill>
      <patternFill patternType="solid">
        <fgColor theme="1"/>
        <bgColor rgb="FF003300"/>
      </patternFill>
    </fill>
    <fill>
      <patternFill patternType="solid">
        <fgColor theme="0" tint="-0.249977111117893"/>
        <bgColor rgb="FFC0C0C0"/>
      </patternFill>
    </fill>
    <fill>
      <patternFill patternType="solid">
        <fgColor rgb="FF002060"/>
        <bgColor indexed="64"/>
      </patternFill>
    </fill>
    <fill>
      <patternFill patternType="solid">
        <fgColor theme="0"/>
        <bgColor rgb="FFFFFF00"/>
      </patternFill>
    </fill>
    <fill>
      <patternFill patternType="solid">
        <fgColor rgb="FF002060"/>
        <bgColor rgb="FFD9D9D9"/>
      </patternFill>
    </fill>
    <fill>
      <patternFill patternType="solid">
        <fgColor rgb="FF002060"/>
        <bgColor rgb="FF1F3864"/>
      </patternFill>
    </fill>
    <fill>
      <patternFill patternType="solid">
        <fgColor indexed="42"/>
      </patternFill>
    </fill>
    <fill>
      <patternFill patternType="solid">
        <fgColor indexed="43"/>
      </patternFill>
    </fill>
    <fill>
      <patternFill patternType="solid">
        <fgColor theme="0"/>
        <bgColor indexed="64"/>
      </patternFill>
    </fill>
    <fill>
      <patternFill patternType="solid">
        <fgColor theme="0"/>
        <bgColor rgb="FFD9D9D9"/>
      </patternFill>
    </fill>
    <fill>
      <patternFill patternType="solid">
        <fgColor rgb="FFF4B6C2"/>
      </patternFill>
    </fill>
  </fills>
  <borders count="71">
    <border>
      <left/>
      <right/>
      <top/>
      <bottom/>
      <diagonal/>
    </border>
    <border>
      <left/>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style="medium">
        <color auto="1"/>
      </right>
      <top style="medium">
        <color auto="1"/>
      </top>
      <bottom/>
      <diagonal/>
    </border>
    <border>
      <left style="medium">
        <color auto="1"/>
      </left>
      <right/>
      <top style="medium">
        <color auto="1"/>
      </top>
      <bottom style="hair">
        <color auto="1"/>
      </bottom>
      <diagonal/>
    </border>
    <border>
      <left/>
      <right style="medium">
        <color auto="1"/>
      </right>
      <top style="medium">
        <color auto="1"/>
      </top>
      <bottom style="hair">
        <color auto="1"/>
      </bottom>
      <diagonal/>
    </border>
    <border>
      <left style="medium">
        <color auto="1"/>
      </left>
      <right/>
      <top style="hair">
        <color auto="1"/>
      </top>
      <bottom style="hair">
        <color auto="1"/>
      </bottom>
      <diagonal/>
    </border>
    <border>
      <left/>
      <right style="medium">
        <color auto="1"/>
      </right>
      <top style="hair">
        <color auto="1"/>
      </top>
      <bottom style="hair">
        <color auto="1"/>
      </bottom>
      <diagonal/>
    </border>
    <border>
      <left style="medium">
        <color auto="1"/>
      </left>
      <right/>
      <top style="hair">
        <color auto="1"/>
      </top>
      <bottom style="medium">
        <color auto="1"/>
      </bottom>
      <diagonal/>
    </border>
    <border>
      <left/>
      <right style="medium">
        <color auto="1"/>
      </right>
      <top style="hair">
        <color auto="1"/>
      </top>
      <bottom style="medium">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diagonal/>
    </border>
    <border>
      <left/>
      <right style="thin">
        <color auto="1"/>
      </right>
      <top style="thin">
        <color auto="1"/>
      </top>
      <bottom style="thin">
        <color auto="1"/>
      </bottom>
      <diagonal/>
    </border>
    <border>
      <left/>
      <right/>
      <top style="thin">
        <color auto="1"/>
      </top>
      <bottom style="thin">
        <color auto="1"/>
      </bottom>
      <diagonal/>
    </border>
    <border>
      <left/>
      <right style="thin">
        <color auto="1"/>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style="medium">
        <color auto="1"/>
      </right>
      <top style="medium">
        <color auto="1"/>
      </top>
      <bottom style="medium">
        <color auto="1"/>
      </bottom>
      <diagonal/>
    </border>
    <border>
      <left/>
      <right/>
      <top style="medium">
        <color auto="1"/>
      </top>
      <bottom/>
      <diagonal/>
    </border>
    <border>
      <left style="double">
        <color auto="1"/>
      </left>
      <right style="double">
        <color auto="1"/>
      </right>
      <top style="double">
        <color auto="1"/>
      </top>
      <bottom style="double">
        <color auto="1"/>
      </bottom>
      <diagonal/>
    </border>
    <border>
      <left style="hair">
        <color auto="1"/>
      </left>
      <right style="thin">
        <color auto="1"/>
      </right>
      <top/>
      <bottom style="double">
        <color auto="1"/>
      </bottom>
      <diagonal/>
    </border>
    <border>
      <left style="thin">
        <color auto="1"/>
      </left>
      <right style="hair">
        <color auto="1"/>
      </right>
      <top/>
      <bottom style="double">
        <color auto="1"/>
      </bottom>
      <diagonal/>
    </border>
    <border>
      <left style="thin">
        <color auto="1"/>
      </left>
      <right/>
      <top/>
      <bottom style="double">
        <color auto="1"/>
      </bottom>
      <diagonal/>
    </border>
    <border>
      <left style="double">
        <color auto="1"/>
      </left>
      <right style="double">
        <color auto="1"/>
      </right>
      <top style="double">
        <color auto="1"/>
      </top>
      <bottom/>
      <diagonal/>
    </border>
    <border>
      <left style="double">
        <color auto="1"/>
      </left>
      <right/>
      <top style="double">
        <color auto="1"/>
      </top>
      <bottom/>
      <diagonal/>
    </border>
    <border>
      <left style="double">
        <color auto="1"/>
      </left>
      <right style="double">
        <color auto="1"/>
      </right>
      <top/>
      <bottom/>
      <diagonal/>
    </border>
    <border>
      <left style="double">
        <color auto="1"/>
      </left>
      <right style="double">
        <color auto="1"/>
      </right>
      <top/>
      <bottom style="double">
        <color auto="1"/>
      </bottom>
      <diagonal/>
    </border>
    <border>
      <left style="double">
        <color auto="1"/>
      </left>
      <right/>
      <top style="thin">
        <color auto="1"/>
      </top>
      <bottom style="thin">
        <color auto="1"/>
      </bottom>
      <diagonal/>
    </border>
    <border>
      <left style="double">
        <color auto="1"/>
      </left>
      <right/>
      <top style="thin">
        <color auto="1"/>
      </top>
      <bottom style="double">
        <color auto="1"/>
      </bottom>
      <diagonal/>
    </border>
    <border>
      <left/>
      <right/>
      <top style="thin">
        <color auto="1"/>
      </top>
      <bottom style="double">
        <color auto="1"/>
      </bottom>
      <diagonal/>
    </border>
    <border>
      <left/>
      <right style="thin">
        <color auto="1"/>
      </right>
      <top/>
      <bottom style="double">
        <color auto="1"/>
      </bottom>
      <diagonal/>
    </border>
    <border>
      <left style="double">
        <color auto="1"/>
      </left>
      <right/>
      <top/>
      <bottom style="double">
        <color auto="1"/>
      </bottom>
      <diagonal/>
    </border>
    <border>
      <left style="double">
        <color auto="1"/>
      </left>
      <right style="medium">
        <color auto="1"/>
      </right>
      <top style="double">
        <color auto="1"/>
      </top>
      <bottom style="double">
        <color auto="1"/>
      </bottom>
      <diagonal/>
    </border>
    <border>
      <left style="medium">
        <color auto="1"/>
      </left>
      <right style="medium">
        <color auto="1"/>
      </right>
      <top style="double">
        <color auto="1"/>
      </top>
      <bottom style="double">
        <color auto="1"/>
      </bottom>
      <diagonal/>
    </border>
    <border>
      <left style="medium">
        <color auto="1"/>
      </left>
      <right/>
      <top style="double">
        <color auto="1"/>
      </top>
      <bottom style="double">
        <color auto="1"/>
      </bottom>
      <diagonal/>
    </border>
    <border>
      <left style="double">
        <color auto="1"/>
      </left>
      <right style="double">
        <color auto="1"/>
      </right>
      <top style="medium">
        <color auto="1"/>
      </top>
      <bottom/>
      <diagonal/>
    </border>
    <border>
      <left style="double">
        <color auto="1"/>
      </left>
      <right style="double">
        <color auto="1"/>
      </right>
      <top/>
      <bottom style="hair">
        <color auto="1"/>
      </bottom>
      <diagonal/>
    </border>
    <border>
      <left style="double">
        <color auto="1"/>
      </left>
      <right style="double">
        <color auto="1"/>
      </right>
      <top style="hair">
        <color auto="1"/>
      </top>
      <bottom/>
      <diagonal/>
    </border>
    <border>
      <left style="double">
        <color auto="1"/>
      </left>
      <right style="double">
        <color auto="1"/>
      </right>
      <top style="hair">
        <color auto="1"/>
      </top>
      <bottom style="hair">
        <color auto="1"/>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top/>
      <bottom/>
      <diagonal/>
    </border>
    <border>
      <left/>
      <right style="medium">
        <color auto="1"/>
      </right>
      <top/>
      <bottom/>
      <diagonal/>
    </border>
    <border>
      <left/>
      <right/>
      <top style="double">
        <color auto="1"/>
      </top>
      <bottom/>
      <diagonal/>
    </border>
    <border>
      <left/>
      <right/>
      <top/>
      <bottom style="double">
        <color auto="1"/>
      </bottom>
      <diagonal/>
    </border>
    <border>
      <left/>
      <right style="double">
        <color auto="1"/>
      </right>
      <top/>
      <bottom style="double">
        <color auto="1"/>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medium">
        <color auto="1"/>
      </top>
      <bottom style="medium">
        <color auto="1"/>
      </bottom>
      <diagonal/>
    </border>
    <border>
      <left style="double">
        <color auto="1"/>
      </left>
      <right style="hair">
        <color auto="1"/>
      </right>
      <top style="double">
        <color auto="1"/>
      </top>
      <bottom style="double">
        <color auto="1"/>
      </bottom>
      <diagonal/>
    </border>
    <border>
      <left style="hair">
        <color auto="1"/>
      </left>
      <right style="thin">
        <color auto="1"/>
      </right>
      <top style="double">
        <color auto="1"/>
      </top>
      <bottom style="double">
        <color auto="1"/>
      </bottom>
      <diagonal/>
    </border>
    <border>
      <left style="thin">
        <color auto="1"/>
      </left>
      <right style="hair">
        <color auto="1"/>
      </right>
      <top style="double">
        <color auto="1"/>
      </top>
      <bottom style="double">
        <color auto="1"/>
      </bottom>
      <diagonal/>
    </border>
    <border>
      <left style="thin">
        <color auto="1"/>
      </left>
      <right style="double">
        <color auto="1"/>
      </right>
      <top style="double">
        <color auto="1"/>
      </top>
      <bottom style="double">
        <color auto="1"/>
      </bottom>
      <diagonal/>
    </border>
    <border>
      <left style="double">
        <color auto="1"/>
      </left>
      <right/>
      <top style="double">
        <color auto="1"/>
      </top>
      <bottom style="double">
        <color auto="1"/>
      </bottom>
      <diagonal/>
    </border>
    <border>
      <left/>
      <right style="double">
        <color auto="1"/>
      </right>
      <top style="double">
        <color auto="1"/>
      </top>
      <bottom style="double">
        <color auto="1"/>
      </bottom>
      <diagonal/>
    </border>
    <border>
      <left/>
      <right/>
      <top/>
      <bottom style="thick">
        <color indexed="62"/>
      </bottom>
      <diagonal/>
    </border>
    <border>
      <left/>
      <right/>
      <top style="thin">
        <color indexed="62"/>
      </top>
      <bottom style="double">
        <color indexed="62"/>
      </bottom>
      <diagonal/>
    </border>
    <border>
      <left/>
      <right/>
      <top style="double">
        <color auto="1"/>
      </top>
      <bottom style="double">
        <color auto="1"/>
      </bottom>
      <diagonal/>
    </border>
    <border>
      <left style="medium">
        <color auto="1"/>
      </left>
      <right/>
      <top/>
      <bottom style="medium">
        <color auto="1"/>
      </bottom>
      <diagonal/>
    </border>
    <border>
      <left/>
      <right style="medium">
        <color auto="1"/>
      </right>
      <top/>
      <bottom style="medium">
        <color auto="1"/>
      </bottom>
      <diagonal/>
    </border>
  </borders>
  <cellStyleXfs count="18">
    <xf numFmtId="0" fontId="0" fillId="0" borderId="0"/>
    <xf numFmtId="0" fontId="1" fillId="0" borderId="0"/>
    <xf numFmtId="185" fontId="57" fillId="0" borderId="0"/>
    <xf numFmtId="191" fontId="57" fillId="0" borderId="0"/>
    <xf numFmtId="185" fontId="57" fillId="0" borderId="0"/>
    <xf numFmtId="191" fontId="57" fillId="0" borderId="0"/>
    <xf numFmtId="0" fontId="2" fillId="0" borderId="0"/>
    <xf numFmtId="0" fontId="57" fillId="0" borderId="0"/>
    <xf numFmtId="0" fontId="1" fillId="0" borderId="0"/>
    <xf numFmtId="0" fontId="3" fillId="0" borderId="0"/>
    <xf numFmtId="0" fontId="4" fillId="0" borderId="0"/>
    <xf numFmtId="9" fontId="3" fillId="0" borderId="0"/>
    <xf numFmtId="9" fontId="57" fillId="0" borderId="0"/>
    <xf numFmtId="0" fontId="58" fillId="0" borderId="0"/>
    <xf numFmtId="0" fontId="59" fillId="20" borderId="0"/>
    <xf numFmtId="0" fontId="60" fillId="21" borderId="0"/>
    <xf numFmtId="0" fontId="61" fillId="0" borderId="66"/>
    <xf numFmtId="0" fontId="62" fillId="0" borderId="67"/>
  </cellStyleXfs>
  <cellXfs count="548">
    <xf numFmtId="0" fontId="0" fillId="0" borderId="0" xfId="0"/>
    <xf numFmtId="0" fontId="25" fillId="4" borderId="0" xfId="0" applyFont="1" applyFill="1" applyAlignment="1">
      <alignment horizontal="left" vertical="center"/>
    </xf>
    <xf numFmtId="0" fontId="5" fillId="0" borderId="0" xfId="0" applyFont="1" applyAlignment="1">
      <alignment horizontal="left"/>
    </xf>
    <xf numFmtId="10" fontId="32" fillId="4" borderId="0" xfId="0" applyNumberFormat="1" applyFont="1" applyFill="1" applyAlignment="1">
      <alignment horizontal="left" vertical="center"/>
    </xf>
    <xf numFmtId="10" fontId="27" fillId="10" borderId="0" xfId="0" applyNumberFormat="1" applyFont="1" applyFill="1" applyAlignment="1">
      <alignment horizontal="center" vertical="center"/>
    </xf>
    <xf numFmtId="0" fontId="29" fillId="4" borderId="0" xfId="0" applyFont="1" applyFill="1" applyAlignment="1">
      <alignment horizontal="center" vertical="center"/>
    </xf>
    <xf numFmtId="0" fontId="27" fillId="10" borderId="0" xfId="0" applyFont="1" applyFill="1" applyAlignment="1">
      <alignment horizontal="center" vertical="center"/>
    </xf>
    <xf numFmtId="0" fontId="5" fillId="0" borderId="0" xfId="0" applyFont="1"/>
    <xf numFmtId="0" fontId="6" fillId="0" borderId="0" xfId="0" applyFont="1"/>
    <xf numFmtId="0" fontId="8" fillId="2" borderId="2" xfId="0" applyFont="1" applyFill="1" applyBorder="1" applyAlignment="1">
      <alignment vertical="center"/>
    </xf>
    <xf numFmtId="10" fontId="8" fillId="2" borderId="3" xfId="0" applyNumberFormat="1" applyFont="1" applyFill="1" applyBorder="1" applyAlignment="1">
      <alignment horizontal="center" vertical="center"/>
    </xf>
    <xf numFmtId="0" fontId="8" fillId="4" borderId="5" xfId="0" applyFont="1" applyFill="1" applyBorder="1" applyAlignment="1">
      <alignment vertical="center"/>
    </xf>
    <xf numFmtId="164" fontId="8" fillId="4" borderId="6" xfId="0" applyNumberFormat="1" applyFont="1" applyFill="1" applyBorder="1" applyAlignment="1">
      <alignment horizontal="center" vertical="center"/>
    </xf>
    <xf numFmtId="0" fontId="8" fillId="0" borderId="0" xfId="0" applyFont="1" applyAlignment="1">
      <alignment vertical="top"/>
    </xf>
    <xf numFmtId="0" fontId="8" fillId="4" borderId="7" xfId="0" applyFont="1" applyFill="1" applyBorder="1" applyAlignment="1">
      <alignment vertical="center"/>
    </xf>
    <xf numFmtId="10" fontId="8" fillId="4" borderId="8" xfId="0" applyNumberFormat="1" applyFont="1" applyFill="1" applyBorder="1" applyAlignment="1">
      <alignment horizontal="center" vertical="center"/>
    </xf>
    <xf numFmtId="0" fontId="8" fillId="4" borderId="9" xfId="0" applyFont="1" applyFill="1" applyBorder="1" applyAlignment="1">
      <alignment vertical="center"/>
    </xf>
    <xf numFmtId="1" fontId="8" fillId="4" borderId="10" xfId="0" applyNumberFormat="1" applyFont="1" applyFill="1" applyBorder="1" applyAlignment="1">
      <alignment horizontal="center" vertical="center"/>
    </xf>
    <xf numFmtId="3" fontId="10" fillId="4" borderId="0" xfId="0" applyNumberFormat="1" applyFont="1" applyFill="1" applyAlignment="1">
      <alignment vertical="center"/>
    </xf>
    <xf numFmtId="0" fontId="5" fillId="0" borderId="0" xfId="0" applyFont="1" applyAlignment="1">
      <alignment vertical="center"/>
    </xf>
    <xf numFmtId="0" fontId="11" fillId="6" borderId="11" xfId="0" applyFont="1" applyFill="1" applyBorder="1" applyAlignment="1">
      <alignment horizontal="left" vertical="center"/>
    </xf>
    <xf numFmtId="0" fontId="4" fillId="6" borderId="12" xfId="0" applyFont="1" applyFill="1" applyBorder="1" applyAlignment="1">
      <alignment horizontal="center" vertical="center"/>
    </xf>
    <xf numFmtId="0" fontId="11" fillId="6" borderId="13" xfId="0" applyFont="1" applyFill="1" applyBorder="1" applyAlignment="1">
      <alignment vertical="center"/>
    </xf>
    <xf numFmtId="0" fontId="11" fillId="6" borderId="14" xfId="0" applyFont="1" applyFill="1" applyBorder="1" applyAlignment="1">
      <alignment horizontal="center" vertical="center"/>
    </xf>
    <xf numFmtId="0" fontId="11" fillId="6" borderId="15" xfId="0" applyFont="1" applyFill="1" applyBorder="1" applyAlignment="1">
      <alignment horizontal="center" vertical="center"/>
    </xf>
    <xf numFmtId="0" fontId="4" fillId="0" borderId="0" xfId="0" applyFont="1" applyAlignment="1">
      <alignment horizontal="center" vertical="center"/>
    </xf>
    <xf numFmtId="0" fontId="5" fillId="6" borderId="16" xfId="0" applyFont="1" applyFill="1" applyBorder="1" applyAlignment="1">
      <alignment vertical="center"/>
    </xf>
    <xf numFmtId="0" fontId="11" fillId="6" borderId="16" xfId="0" applyFont="1" applyFill="1" applyBorder="1" applyAlignment="1">
      <alignment horizontal="center" vertical="center"/>
    </xf>
    <xf numFmtId="3" fontId="11" fillId="0" borderId="13" xfId="0" applyNumberFormat="1" applyFont="1" applyBorder="1" applyAlignment="1">
      <alignment horizontal="left"/>
    </xf>
    <xf numFmtId="1" fontId="9" fillId="7" borderId="17" xfId="0" applyNumberFormat="1" applyFont="1" applyFill="1" applyBorder="1" applyAlignment="1">
      <alignment horizontal="right"/>
    </xf>
    <xf numFmtId="0" fontId="2" fillId="0" borderId="11" xfId="0" applyFont="1" applyBorder="1"/>
    <xf numFmtId="10" fontId="4" fillId="0" borderId="14" xfId="0" applyNumberFormat="1" applyFont="1" applyBorder="1" applyAlignment="1">
      <alignment horizontal="center"/>
    </xf>
    <xf numFmtId="165" fontId="5" fillId="0" borderId="12" xfId="9" applyNumberFormat="1" applyFont="1" applyBorder="1" applyAlignment="1">
      <alignment horizontal="right"/>
    </xf>
    <xf numFmtId="10" fontId="12" fillId="0" borderId="0" xfId="0" applyNumberFormat="1" applyFont="1" applyAlignment="1">
      <alignment horizontal="center"/>
    </xf>
    <xf numFmtId="0" fontId="5" fillId="0" borderId="18" xfId="0" applyFont="1" applyBorder="1"/>
    <xf numFmtId="10" fontId="4" fillId="0" borderId="0" xfId="0" applyNumberFormat="1" applyFont="1" applyAlignment="1">
      <alignment horizontal="center"/>
    </xf>
    <xf numFmtId="165" fontId="5" fillId="0" borderId="17" xfId="9" applyNumberFormat="1" applyFont="1" applyBorder="1" applyAlignment="1">
      <alignment horizontal="right"/>
    </xf>
    <xf numFmtId="0" fontId="5" fillId="0" borderId="11" xfId="0" applyFont="1" applyBorder="1" applyAlignment="1">
      <alignment horizontal="left" indent="1"/>
    </xf>
    <xf numFmtId="166" fontId="4" fillId="4" borderId="12" xfId="11" applyNumberFormat="1" applyFont="1" applyFill="1" applyBorder="1" applyAlignment="1">
      <alignment horizontal="center"/>
    </xf>
    <xf numFmtId="0" fontId="13" fillId="0" borderId="0" xfId="0" applyFont="1"/>
    <xf numFmtId="1" fontId="14" fillId="8" borderId="17" xfId="0" applyNumberFormat="1" applyFont="1" applyFill="1" applyBorder="1" applyAlignment="1">
      <alignment horizontal="right"/>
    </xf>
    <xf numFmtId="0" fontId="2" fillId="0" borderId="19" xfId="0" applyFont="1" applyBorder="1"/>
    <xf numFmtId="10" fontId="4" fillId="0" borderId="20" xfId="0" applyNumberFormat="1" applyFont="1" applyBorder="1" applyAlignment="1">
      <alignment horizontal="center"/>
    </xf>
    <xf numFmtId="165" fontId="5" fillId="0" borderId="21" xfId="9" applyNumberFormat="1" applyFont="1" applyBorder="1" applyAlignment="1">
      <alignment horizontal="right"/>
    </xf>
    <xf numFmtId="0" fontId="5" fillId="0" borderId="18" xfId="0" applyFont="1" applyBorder="1" applyAlignment="1">
      <alignment horizontal="left" indent="1"/>
    </xf>
    <xf numFmtId="166" fontId="4" fillId="0" borderId="17" xfId="11" applyNumberFormat="1" applyFont="1" applyBorder="1" applyAlignment="1">
      <alignment horizontal="center"/>
    </xf>
    <xf numFmtId="167" fontId="5" fillId="0" borderId="0" xfId="0" applyNumberFormat="1" applyFont="1"/>
    <xf numFmtId="0" fontId="2" fillId="0" borderId="18" xfId="0" applyFont="1" applyBorder="1"/>
    <xf numFmtId="0" fontId="7" fillId="0" borderId="13" xfId="0" applyFont="1" applyBorder="1"/>
    <xf numFmtId="0" fontId="5" fillId="0" borderId="16" xfId="0" applyFont="1" applyBorder="1"/>
    <xf numFmtId="9" fontId="11" fillId="0" borderId="16" xfId="0" applyNumberFormat="1" applyFont="1" applyBorder="1" applyAlignment="1">
      <alignment horizontal="center"/>
    </xf>
    <xf numFmtId="165" fontId="7" fillId="0" borderId="15" xfId="9" applyNumberFormat="1" applyFont="1" applyBorder="1" applyAlignment="1">
      <alignment horizontal="right"/>
    </xf>
    <xf numFmtId="0" fontId="5" fillId="0" borderId="19" xfId="0" applyFont="1" applyBorder="1" applyAlignment="1">
      <alignment horizontal="left" indent="1"/>
    </xf>
    <xf numFmtId="166" fontId="4" fillId="0" borderId="21" xfId="11" applyNumberFormat="1" applyFont="1" applyBorder="1" applyAlignment="1">
      <alignment horizontal="center"/>
    </xf>
    <xf numFmtId="168" fontId="4" fillId="0" borderId="17" xfId="0" applyNumberFormat="1" applyFont="1" applyBorder="1" applyAlignment="1">
      <alignment horizontal="right"/>
    </xf>
    <xf numFmtId="0" fontId="15" fillId="0" borderId="18" xfId="0" applyFont="1" applyBorder="1"/>
    <xf numFmtId="10" fontId="11" fillId="0" borderId="0" xfId="0" applyNumberFormat="1" applyFont="1" applyAlignment="1">
      <alignment horizontal="center"/>
    </xf>
    <xf numFmtId="165" fontId="7" fillId="0" borderId="17" xfId="9" applyNumberFormat="1" applyFont="1" applyBorder="1" applyAlignment="1">
      <alignment horizontal="right"/>
    </xf>
    <xf numFmtId="0" fontId="5" fillId="0" borderId="14" xfId="0" applyFont="1" applyBorder="1"/>
    <xf numFmtId="0" fontId="6" fillId="0" borderId="14" xfId="0" applyFont="1" applyBorder="1"/>
    <xf numFmtId="168" fontId="4" fillId="0" borderId="15" xfId="0" applyNumberFormat="1" applyFont="1" applyBorder="1" applyAlignment="1">
      <alignment horizontal="right"/>
    </xf>
    <xf numFmtId="3" fontId="5" fillId="0" borderId="17" xfId="0" applyNumberFormat="1" applyFont="1" applyBorder="1"/>
    <xf numFmtId="0" fontId="11" fillId="6" borderId="13" xfId="0" applyFont="1" applyFill="1" applyBorder="1" applyAlignment="1">
      <alignment horizontal="left"/>
    </xf>
    <xf numFmtId="0" fontId="10" fillId="6" borderId="16" xfId="0" applyFont="1" applyFill="1" applyBorder="1" applyAlignment="1">
      <alignment horizontal="left"/>
    </xf>
    <xf numFmtId="0" fontId="5" fillId="6" borderId="16" xfId="0" applyFont="1" applyFill="1" applyBorder="1"/>
    <xf numFmtId="1" fontId="9" fillId="7" borderId="15" xfId="0" applyNumberFormat="1" applyFont="1" applyFill="1" applyBorder="1" applyAlignment="1">
      <alignment horizontal="right"/>
    </xf>
    <xf numFmtId="0" fontId="5" fillId="4" borderId="0" xfId="0" applyFont="1" applyFill="1"/>
    <xf numFmtId="169" fontId="4" fillId="4" borderId="0" xfId="0" applyNumberFormat="1" applyFont="1" applyFill="1"/>
    <xf numFmtId="3" fontId="4" fillId="0" borderId="18" xfId="0" applyNumberFormat="1" applyFont="1" applyBorder="1" applyAlignment="1">
      <alignment horizontal="left"/>
    </xf>
    <xf numFmtId="3" fontId="4" fillId="0" borderId="0" xfId="0" applyNumberFormat="1" applyFont="1" applyAlignment="1">
      <alignment horizontal="left"/>
    </xf>
    <xf numFmtId="0" fontId="11" fillId="6" borderId="11" xfId="0" applyFont="1" applyFill="1" applyBorder="1" applyAlignment="1">
      <alignment horizontal="left"/>
    </xf>
    <xf numFmtId="0" fontId="11" fillId="6" borderId="12" xfId="0" applyFont="1" applyFill="1" applyBorder="1" applyAlignment="1">
      <alignment horizontal="center"/>
    </xf>
    <xf numFmtId="10" fontId="11" fillId="0" borderId="16" xfId="0" applyNumberFormat="1" applyFont="1" applyBorder="1" applyAlignment="1">
      <alignment horizontal="center"/>
    </xf>
    <xf numFmtId="3" fontId="16" fillId="0" borderId="0" xfId="0" applyNumberFormat="1" applyFont="1" applyAlignment="1">
      <alignment horizontal="center"/>
    </xf>
    <xf numFmtId="3" fontId="11" fillId="4" borderId="23" xfId="0" applyNumberFormat="1" applyFont="1" applyFill="1" applyBorder="1" applyAlignment="1">
      <alignment horizontal="right" vertical="center"/>
    </xf>
    <xf numFmtId="0" fontId="4" fillId="0" borderId="0" xfId="0" applyFont="1" applyAlignment="1">
      <alignment horizontal="center"/>
    </xf>
    <xf numFmtId="3" fontId="4" fillId="0" borderId="19" xfId="0" applyNumberFormat="1" applyFont="1" applyBorder="1" applyAlignment="1">
      <alignment horizontal="left"/>
    </xf>
    <xf numFmtId="3" fontId="4" fillId="0" borderId="20" xfId="0" applyNumberFormat="1" applyFont="1" applyBorder="1" applyAlignment="1">
      <alignment horizontal="left"/>
    </xf>
    <xf numFmtId="0" fontId="5" fillId="0" borderId="20" xfId="0" applyFont="1" applyBorder="1"/>
    <xf numFmtId="1" fontId="14" fillId="8" borderId="21" xfId="0" applyNumberFormat="1" applyFont="1" applyFill="1" applyBorder="1" applyAlignment="1">
      <alignment horizontal="right"/>
    </xf>
    <xf numFmtId="3" fontId="11" fillId="4" borderId="24" xfId="0" applyNumberFormat="1" applyFont="1" applyFill="1" applyBorder="1" applyAlignment="1">
      <alignment horizontal="right" vertical="center"/>
    </xf>
    <xf numFmtId="169" fontId="11" fillId="6" borderId="13" xfId="0" applyNumberFormat="1" applyFont="1" applyFill="1" applyBorder="1" applyAlignment="1">
      <alignment horizontal="left" vertical="center"/>
    </xf>
    <xf numFmtId="169" fontId="11" fillId="6" borderId="16" xfId="0" applyNumberFormat="1" applyFont="1" applyFill="1" applyBorder="1" applyAlignment="1">
      <alignment horizontal="left" vertical="center"/>
    </xf>
    <xf numFmtId="169" fontId="11" fillId="6" borderId="15" xfId="0" applyNumberFormat="1" applyFont="1" applyFill="1" applyBorder="1" applyAlignment="1">
      <alignment horizontal="left" vertical="center"/>
    </xf>
    <xf numFmtId="170" fontId="17" fillId="0" borderId="0" xfId="11" applyNumberFormat="1" applyFont="1" applyAlignment="1">
      <alignment horizontal="center"/>
    </xf>
    <xf numFmtId="0" fontId="18" fillId="0" borderId="0" xfId="0" applyFont="1"/>
    <xf numFmtId="0" fontId="4" fillId="0" borderId="13" xfId="0" applyFont="1" applyBorder="1" applyAlignment="1">
      <alignment horizontal="left"/>
    </xf>
    <xf numFmtId="10" fontId="8" fillId="8" borderId="15" xfId="0" applyNumberFormat="1" applyFont="1" applyFill="1" applyBorder="1" applyAlignment="1">
      <alignment horizontal="right"/>
    </xf>
    <xf numFmtId="170" fontId="17" fillId="4" borderId="0" xfId="11" applyNumberFormat="1" applyFont="1" applyFill="1" applyAlignment="1">
      <alignment horizontal="center"/>
    </xf>
    <xf numFmtId="171" fontId="17" fillId="0" borderId="0" xfId="11" applyNumberFormat="1" applyFont="1" applyAlignment="1">
      <alignment horizontal="center"/>
    </xf>
    <xf numFmtId="0" fontId="4" fillId="0" borderId="0" xfId="0" applyFont="1" applyAlignment="1">
      <alignment horizontal="left"/>
    </xf>
    <xf numFmtId="10" fontId="8" fillId="4" borderId="0" xfId="0" applyNumberFormat="1" applyFont="1" applyFill="1" applyAlignment="1">
      <alignment horizontal="center"/>
    </xf>
    <xf numFmtId="0" fontId="7" fillId="4" borderId="0" xfId="0" applyFont="1" applyFill="1"/>
    <xf numFmtId="9" fontId="11" fillId="4" borderId="0" xfId="0" applyNumberFormat="1" applyFont="1" applyFill="1" applyAlignment="1">
      <alignment horizontal="center"/>
    </xf>
    <xf numFmtId="0" fontId="11" fillId="6" borderId="15" xfId="0" applyFont="1" applyFill="1" applyBorder="1" applyAlignment="1">
      <alignment horizontal="center"/>
    </xf>
    <xf numFmtId="0" fontId="11" fillId="6" borderId="16" xfId="0" applyFont="1" applyFill="1" applyBorder="1" applyAlignment="1">
      <alignment horizontal="left"/>
    </xf>
    <xf numFmtId="0" fontId="11" fillId="6" borderId="15" xfId="0" applyFont="1" applyFill="1" applyBorder="1" applyAlignment="1">
      <alignment horizontal="left"/>
    </xf>
    <xf numFmtId="3" fontId="11" fillId="4" borderId="0" xfId="0" applyNumberFormat="1" applyFont="1" applyFill="1" applyAlignment="1">
      <alignment horizontal="center"/>
    </xf>
    <xf numFmtId="3" fontId="8" fillId="4" borderId="0" xfId="0" applyNumberFormat="1" applyFont="1" applyFill="1" applyAlignment="1">
      <alignment horizontal="center"/>
    </xf>
    <xf numFmtId="172" fontId="17" fillId="0" borderId="0" xfId="0" applyNumberFormat="1" applyFont="1" applyAlignment="1">
      <alignment horizontal="center"/>
    </xf>
    <xf numFmtId="0" fontId="5" fillId="0" borderId="11" xfId="0" applyFont="1" applyBorder="1"/>
    <xf numFmtId="10" fontId="11" fillId="0" borderId="14" xfId="0" applyNumberFormat="1" applyFont="1" applyBorder="1"/>
    <xf numFmtId="164" fontId="11" fillId="0" borderId="12" xfId="0" applyNumberFormat="1" applyFont="1" applyBorder="1" applyAlignment="1">
      <alignment horizontal="right"/>
    </xf>
    <xf numFmtId="173" fontId="11" fillId="4" borderId="0" xfId="0" applyNumberFormat="1" applyFont="1" applyFill="1" applyAlignment="1">
      <alignment horizontal="center"/>
    </xf>
    <xf numFmtId="164" fontId="11" fillId="0" borderId="0" xfId="0" applyNumberFormat="1" applyFont="1" applyAlignment="1">
      <alignment horizontal="right"/>
    </xf>
    <xf numFmtId="10" fontId="14" fillId="4" borderId="0" xfId="0" applyNumberFormat="1" applyFont="1" applyFill="1"/>
    <xf numFmtId="10" fontId="5" fillId="0" borderId="17" xfId="0" applyNumberFormat="1" applyFont="1" applyBorder="1" applyAlignment="1">
      <alignment horizontal="right"/>
    </xf>
    <xf numFmtId="0" fontId="6" fillId="4" borderId="0" xfId="0" applyFont="1" applyFill="1"/>
    <xf numFmtId="0" fontId="4" fillId="6" borderId="15" xfId="0" applyFont="1" applyFill="1" applyBorder="1" applyAlignment="1">
      <alignment horizontal="center"/>
    </xf>
    <xf numFmtId="164" fontId="11" fillId="0" borderId="17" xfId="0" applyNumberFormat="1" applyFont="1" applyBorder="1" applyAlignment="1">
      <alignment horizontal="right"/>
    </xf>
    <xf numFmtId="174" fontId="0" fillId="0" borderId="0" xfId="0" applyNumberFormat="1"/>
    <xf numFmtId="3" fontId="11" fillId="0" borderId="18" xfId="0" applyNumberFormat="1" applyFont="1" applyBorder="1"/>
    <xf numFmtId="0" fontId="5" fillId="0" borderId="17" xfId="0" applyFont="1" applyBorder="1"/>
    <xf numFmtId="0" fontId="5" fillId="0" borderId="19" xfId="0" applyFont="1" applyBorder="1"/>
    <xf numFmtId="10" fontId="7" fillId="0" borderId="20" xfId="0" applyNumberFormat="1" applyFont="1" applyBorder="1"/>
    <xf numFmtId="3" fontId="4" fillId="0" borderId="0" xfId="0" applyNumberFormat="1" applyFont="1" applyAlignment="1">
      <alignment horizontal="center"/>
    </xf>
    <xf numFmtId="9" fontId="4" fillId="0" borderId="0" xfId="0" applyNumberFormat="1" applyFont="1" applyAlignment="1">
      <alignment horizontal="center"/>
    </xf>
    <xf numFmtId="10" fontId="17" fillId="8" borderId="17" xfId="0" applyNumberFormat="1" applyFont="1" applyFill="1" applyBorder="1" applyAlignment="1">
      <alignment horizontal="right"/>
    </xf>
    <xf numFmtId="3" fontId="11" fillId="0" borderId="16" xfId="0" applyNumberFormat="1" applyFont="1" applyBorder="1" applyAlignment="1">
      <alignment horizontal="left"/>
    </xf>
    <xf numFmtId="0" fontId="11" fillId="4" borderId="0" xfId="0" applyFont="1" applyFill="1" applyAlignment="1">
      <alignment horizontal="center" vertical="center"/>
    </xf>
    <xf numFmtId="10" fontId="17" fillId="8" borderId="21" xfId="0" applyNumberFormat="1" applyFont="1" applyFill="1" applyBorder="1" applyAlignment="1">
      <alignment horizontal="right"/>
    </xf>
    <xf numFmtId="164" fontId="11" fillId="4" borderId="0" xfId="0" applyNumberFormat="1" applyFont="1" applyFill="1" applyAlignment="1">
      <alignment horizontal="right"/>
    </xf>
    <xf numFmtId="3" fontId="11" fillId="0" borderId="11" xfId="0" applyNumberFormat="1" applyFont="1" applyBorder="1"/>
    <xf numFmtId="0" fontId="5" fillId="0" borderId="12" xfId="0" applyFont="1" applyBorder="1"/>
    <xf numFmtId="3" fontId="19" fillId="0" borderId="0" xfId="0" applyNumberFormat="1" applyFont="1" applyAlignment="1">
      <alignment horizontal="center"/>
    </xf>
    <xf numFmtId="0" fontId="9" fillId="7" borderId="15" xfId="0" applyFont="1" applyFill="1" applyBorder="1" applyAlignment="1">
      <alignment horizontal="right"/>
    </xf>
    <xf numFmtId="9" fontId="19" fillId="0" borderId="0" xfId="0" applyNumberFormat="1" applyFont="1" applyAlignment="1">
      <alignment horizontal="center"/>
    </xf>
    <xf numFmtId="3" fontId="19" fillId="4" borderId="0" xfId="0" applyNumberFormat="1" applyFont="1" applyFill="1" applyAlignment="1">
      <alignment horizontal="center"/>
    </xf>
    <xf numFmtId="169" fontId="20" fillId="4" borderId="0" xfId="0" applyNumberFormat="1" applyFont="1" applyFill="1" applyAlignment="1">
      <alignment horizontal="center" vertical="center"/>
    </xf>
    <xf numFmtId="170" fontId="19" fillId="0" borderId="0" xfId="11" applyNumberFormat="1" applyFont="1" applyAlignment="1">
      <alignment horizontal="center"/>
    </xf>
    <xf numFmtId="0" fontId="19" fillId="0" borderId="0" xfId="0" applyFont="1"/>
    <xf numFmtId="3" fontId="19" fillId="4" borderId="0" xfId="0" applyNumberFormat="1" applyFont="1" applyFill="1" applyAlignment="1">
      <alignment horizontal="left"/>
    </xf>
    <xf numFmtId="0" fontId="11" fillId="4" borderId="0" xfId="0" applyFont="1" applyFill="1"/>
    <xf numFmtId="0" fontId="10" fillId="4" borderId="0" xfId="0" applyFont="1" applyFill="1" applyAlignment="1">
      <alignment horizontal="left"/>
    </xf>
    <xf numFmtId="0" fontId="11" fillId="4" borderId="0" xfId="0" applyFont="1" applyFill="1" applyAlignment="1">
      <alignment horizontal="center"/>
    </xf>
    <xf numFmtId="3" fontId="4" fillId="4" borderId="11" xfId="0" applyNumberFormat="1" applyFont="1" applyFill="1" applyBorder="1" applyAlignment="1">
      <alignment horizontal="left"/>
    </xf>
    <xf numFmtId="10" fontId="17" fillId="8" borderId="12" xfId="0" applyNumberFormat="1" applyFont="1" applyFill="1" applyBorder="1" applyAlignment="1">
      <alignment horizontal="right"/>
    </xf>
    <xf numFmtId="3" fontId="8" fillId="4" borderId="0" xfId="0" applyNumberFormat="1" applyFont="1" applyFill="1"/>
    <xf numFmtId="3" fontId="4" fillId="4" borderId="18" xfId="0" applyNumberFormat="1" applyFont="1" applyFill="1" applyBorder="1" applyAlignment="1">
      <alignment horizontal="left"/>
    </xf>
    <xf numFmtId="0" fontId="11" fillId="6" borderId="13" xfId="0" applyFont="1" applyFill="1" applyBorder="1" applyAlignment="1">
      <alignment horizontal="center" vertical="center"/>
    </xf>
    <xf numFmtId="0" fontId="11" fillId="6" borderId="15" xfId="0" applyFont="1" applyFill="1" applyBorder="1" applyAlignment="1">
      <alignment horizontal="right" vertical="center"/>
    </xf>
    <xf numFmtId="3" fontId="4" fillId="4" borderId="0" xfId="0" applyNumberFormat="1" applyFont="1" applyFill="1" applyAlignment="1">
      <alignment horizontal="left"/>
    </xf>
    <xf numFmtId="0" fontId="5" fillId="4" borderId="0" xfId="0" applyFont="1" applyFill="1" applyAlignment="1">
      <alignment horizontal="left" indent="2"/>
    </xf>
    <xf numFmtId="10" fontId="4" fillId="4" borderId="0" xfId="0" applyNumberFormat="1" applyFont="1" applyFill="1" applyAlignment="1">
      <alignment horizontal="center"/>
    </xf>
    <xf numFmtId="3" fontId="4" fillId="0" borderId="11" xfId="0" applyNumberFormat="1" applyFont="1" applyBorder="1" applyAlignment="1">
      <alignment horizontal="left"/>
    </xf>
    <xf numFmtId="3" fontId="4" fillId="0" borderId="14" xfId="0" applyNumberFormat="1" applyFont="1" applyBorder="1" applyAlignment="1">
      <alignment horizontal="center"/>
    </xf>
    <xf numFmtId="3" fontId="4" fillId="4" borderId="19" xfId="0" applyNumberFormat="1" applyFont="1" applyFill="1" applyBorder="1" applyAlignment="1">
      <alignment horizontal="left"/>
    </xf>
    <xf numFmtId="10" fontId="17" fillId="8" borderId="17" xfId="0" applyNumberFormat="1" applyFont="1" applyFill="1" applyBorder="1" applyAlignment="1">
      <alignment vertical="center" wrapText="1"/>
    </xf>
    <xf numFmtId="0" fontId="5" fillId="0" borderId="19" xfId="0" applyFont="1" applyBorder="1" applyAlignment="1">
      <alignment horizontal="center"/>
    </xf>
    <xf numFmtId="3" fontId="5" fillId="0" borderId="20" xfId="0" applyNumberFormat="1" applyFont="1" applyBorder="1" applyAlignment="1">
      <alignment horizontal="center"/>
    </xf>
    <xf numFmtId="0" fontId="0" fillId="0" borderId="21" xfId="0" applyBorder="1" applyAlignment="1">
      <alignment vertical="center" wrapText="1"/>
    </xf>
    <xf numFmtId="3" fontId="5" fillId="4" borderId="0" xfId="0" applyNumberFormat="1" applyFont="1" applyFill="1"/>
    <xf numFmtId="0" fontId="11" fillId="6" borderId="13" xfId="0" applyFont="1" applyFill="1" applyBorder="1"/>
    <xf numFmtId="0" fontId="11" fillId="6" borderId="15" xfId="0" applyFont="1" applyFill="1" applyBorder="1"/>
    <xf numFmtId="0" fontId="21" fillId="0" borderId="11" xfId="0" applyFont="1" applyBorder="1" applyAlignment="1">
      <alignment horizontal="left" vertical="center"/>
    </xf>
    <xf numFmtId="10" fontId="21" fillId="0" borderId="12" xfId="0" applyNumberFormat="1" applyFont="1" applyBorder="1" applyAlignment="1">
      <alignment horizontal="right" vertical="center"/>
    </xf>
    <xf numFmtId="0" fontId="22" fillId="9" borderId="18" xfId="0" applyFont="1" applyFill="1" applyBorder="1" applyAlignment="1">
      <alignment horizontal="left" vertical="center"/>
    </xf>
    <xf numFmtId="10" fontId="22" fillId="9" borderId="17" xfId="0" applyNumberFormat="1" applyFont="1" applyFill="1" applyBorder="1" applyAlignment="1">
      <alignment horizontal="right" vertical="center"/>
    </xf>
    <xf numFmtId="3" fontId="4" fillId="4" borderId="14" xfId="0" applyNumberFormat="1" applyFont="1" applyFill="1" applyBorder="1" applyAlignment="1">
      <alignment horizontal="center"/>
    </xf>
    <xf numFmtId="3" fontId="11" fillId="4" borderId="12" xfId="0" applyNumberFormat="1" applyFont="1" applyFill="1" applyBorder="1" applyAlignment="1">
      <alignment horizontal="right"/>
    </xf>
    <xf numFmtId="0" fontId="21" fillId="0" borderId="18" xfId="0" applyFont="1" applyBorder="1" applyAlignment="1">
      <alignment horizontal="left" vertical="center"/>
    </xf>
    <xf numFmtId="10" fontId="21" fillId="0" borderId="17" xfId="0" applyNumberFormat="1" applyFont="1" applyBorder="1" applyAlignment="1">
      <alignment horizontal="right" vertical="center"/>
    </xf>
    <xf numFmtId="3" fontId="4" fillId="4" borderId="20" xfId="0" applyNumberFormat="1" applyFont="1" applyFill="1" applyBorder="1" applyAlignment="1">
      <alignment horizontal="center"/>
    </xf>
    <xf numFmtId="3" fontId="11" fillId="4" borderId="21" xfId="0" applyNumberFormat="1" applyFont="1" applyFill="1" applyBorder="1" applyAlignment="1">
      <alignment horizontal="right"/>
    </xf>
    <xf numFmtId="0" fontId="23" fillId="4" borderId="0" xfId="0" applyFont="1" applyFill="1"/>
    <xf numFmtId="0" fontId="23" fillId="4" borderId="0" xfId="0" applyFont="1" applyFill="1" applyAlignment="1">
      <alignment horizontal="center"/>
    </xf>
    <xf numFmtId="0" fontId="11" fillId="4" borderId="0" xfId="0" applyFont="1" applyFill="1" applyAlignment="1">
      <alignment horizontal="left"/>
    </xf>
    <xf numFmtId="0" fontId="4" fillId="4" borderId="0" xfId="0" applyFont="1" applyFill="1" applyAlignment="1">
      <alignment horizontal="center"/>
    </xf>
    <xf numFmtId="0" fontId="9" fillId="7" borderId="13" xfId="0" applyFont="1" applyFill="1" applyBorder="1" applyAlignment="1">
      <alignment horizontal="center" vertical="center"/>
    </xf>
    <xf numFmtId="0" fontId="9" fillId="7" borderId="16" xfId="0" applyFont="1" applyFill="1" applyBorder="1" applyAlignment="1">
      <alignment horizontal="center" vertical="center"/>
    </xf>
    <xf numFmtId="0" fontId="4" fillId="4" borderId="0" xfId="0" applyFont="1" applyFill="1"/>
    <xf numFmtId="3" fontId="14" fillId="4" borderId="0" xfId="0" applyNumberFormat="1" applyFont="1" applyFill="1" applyAlignment="1">
      <alignment horizontal="center"/>
    </xf>
    <xf numFmtId="172" fontId="14" fillId="4" borderId="0" xfId="0" applyNumberFormat="1" applyFont="1" applyFill="1" applyAlignment="1">
      <alignment horizontal="center"/>
    </xf>
    <xf numFmtId="0" fontId="9" fillId="7" borderId="15" xfId="0" applyFont="1" applyFill="1" applyBorder="1" applyAlignment="1">
      <alignment horizontal="right" vertical="center"/>
    </xf>
    <xf numFmtId="10" fontId="17" fillId="4" borderId="0" xfId="0" applyNumberFormat="1" applyFont="1" applyFill="1" applyAlignment="1">
      <alignment horizontal="center"/>
    </xf>
    <xf numFmtId="169" fontId="11" fillId="4" borderId="0" xfId="0" applyNumberFormat="1" applyFont="1" applyFill="1" applyAlignment="1">
      <alignment horizontal="left" vertical="center"/>
    </xf>
    <xf numFmtId="169" fontId="10" fillId="4" borderId="0" xfId="0" applyNumberFormat="1" applyFont="1" applyFill="1" applyAlignment="1">
      <alignment horizontal="left" vertical="center"/>
    </xf>
    <xf numFmtId="0" fontId="4" fillId="4" borderId="0" xfId="0" applyFont="1" applyFill="1" applyAlignment="1">
      <alignment horizontal="left"/>
    </xf>
    <xf numFmtId="0" fontId="5" fillId="0" borderId="0" xfId="0" applyFont="1" applyAlignment="1">
      <alignment horizontal="left" indent="1"/>
    </xf>
    <xf numFmtId="0" fontId="9" fillId="7" borderId="13" xfId="0" applyFont="1" applyFill="1" applyBorder="1" applyAlignment="1">
      <alignment vertical="center"/>
    </xf>
    <xf numFmtId="9" fontId="21" fillId="0" borderId="17" xfId="0" applyNumberFormat="1" applyFont="1" applyBorder="1" applyAlignment="1">
      <alignment horizontal="right" vertical="center"/>
    </xf>
    <xf numFmtId="0" fontId="22" fillId="9" borderId="19" xfId="0" applyFont="1" applyFill="1" applyBorder="1" applyAlignment="1">
      <alignment horizontal="left" vertical="center"/>
    </xf>
    <xf numFmtId="10" fontId="22" fillId="9" borderId="21" xfId="0" applyNumberFormat="1" applyFont="1" applyFill="1" applyBorder="1" applyAlignment="1">
      <alignment horizontal="right" vertical="center"/>
    </xf>
    <xf numFmtId="166" fontId="4" fillId="0" borderId="0" xfId="11" applyNumberFormat="1" applyFont="1" applyAlignment="1">
      <alignment horizontal="center"/>
    </xf>
    <xf numFmtId="0" fontId="24" fillId="4" borderId="0" xfId="0" applyFont="1" applyFill="1"/>
    <xf numFmtId="10" fontId="17" fillId="0" borderId="0" xfId="0" applyNumberFormat="1" applyFont="1"/>
    <xf numFmtId="0" fontId="24" fillId="0" borderId="0" xfId="0" applyFont="1"/>
    <xf numFmtId="0" fontId="25" fillId="4" borderId="0" xfId="0" applyFont="1" applyFill="1" applyAlignment="1">
      <alignment horizontal="center" vertical="center"/>
    </xf>
    <xf numFmtId="0" fontId="25" fillId="0" borderId="0" xfId="0" applyFont="1" applyAlignment="1">
      <alignment horizontal="center" vertical="center"/>
    </xf>
    <xf numFmtId="0" fontId="26" fillId="4" borderId="0" xfId="0" applyFont="1" applyFill="1" applyAlignment="1">
      <alignment horizontal="center" vertical="center"/>
    </xf>
    <xf numFmtId="0" fontId="26" fillId="4" borderId="27" xfId="0" applyFont="1" applyFill="1" applyBorder="1" applyAlignment="1">
      <alignment horizontal="center" vertical="center"/>
    </xf>
    <xf numFmtId="0" fontId="28" fillId="6" borderId="0" xfId="0" applyFont="1" applyFill="1" applyAlignment="1">
      <alignment horizontal="center" vertical="center"/>
    </xf>
    <xf numFmtId="15" fontId="29" fillId="6" borderId="0" xfId="0" applyNumberFormat="1" applyFont="1" applyFill="1" applyAlignment="1">
      <alignment horizontal="center" vertical="center"/>
    </xf>
    <xf numFmtId="175" fontId="29" fillId="3" borderId="0" xfId="0" applyNumberFormat="1" applyFont="1" applyFill="1" applyAlignment="1">
      <alignment horizontal="center" vertical="center"/>
    </xf>
    <xf numFmtId="15" fontId="11" fillId="6" borderId="0" xfId="0" applyNumberFormat="1" applyFont="1" applyFill="1" applyAlignment="1">
      <alignment horizontal="center"/>
    </xf>
    <xf numFmtId="175" fontId="11" fillId="3" borderId="0" xfId="0" applyNumberFormat="1" applyFont="1" applyFill="1" applyAlignment="1">
      <alignment horizontal="center"/>
    </xf>
    <xf numFmtId="10" fontId="27" fillId="4" borderId="0" xfId="0" applyNumberFormat="1" applyFont="1" applyFill="1" applyAlignment="1">
      <alignment horizontal="center" vertical="center"/>
    </xf>
    <xf numFmtId="15" fontId="11" fillId="4" borderId="0" xfId="0" applyNumberFormat="1" applyFont="1" applyFill="1" applyAlignment="1">
      <alignment horizontal="center"/>
    </xf>
    <xf numFmtId="0" fontId="30" fillId="4" borderId="0" xfId="0" applyFont="1" applyFill="1" applyAlignment="1">
      <alignment horizontal="center" vertical="center"/>
    </xf>
    <xf numFmtId="10" fontId="1" fillId="11" borderId="0" xfId="0" applyNumberFormat="1" applyFont="1" applyFill="1" applyAlignment="1">
      <alignment horizontal="left" vertical="center"/>
    </xf>
    <xf numFmtId="1" fontId="31" fillId="6" borderId="0" xfId="0" applyNumberFormat="1" applyFont="1" applyFill="1" applyAlignment="1">
      <alignment horizontal="center"/>
    </xf>
    <xf numFmtId="0" fontId="31" fillId="4" borderId="0" xfId="0" applyFont="1" applyFill="1" applyAlignment="1">
      <alignment horizontal="center" vertical="center"/>
    </xf>
    <xf numFmtId="1" fontId="11" fillId="3" borderId="0" xfId="0" applyNumberFormat="1" applyFont="1" applyFill="1" applyAlignment="1">
      <alignment horizontal="center"/>
    </xf>
    <xf numFmtId="1" fontId="11" fillId="4" borderId="0" xfId="0" applyNumberFormat="1" applyFont="1" applyFill="1" applyAlignment="1">
      <alignment horizontal="center"/>
    </xf>
    <xf numFmtId="10" fontId="11" fillId="4" borderId="0" xfId="0" applyNumberFormat="1" applyFont="1" applyFill="1" applyAlignment="1">
      <alignment horizontal="center"/>
    </xf>
    <xf numFmtId="0" fontId="29" fillId="4" borderId="28" xfId="0" applyFont="1" applyFill="1" applyBorder="1" applyAlignment="1">
      <alignment horizontal="center" vertical="center"/>
    </xf>
    <xf numFmtId="174" fontId="29" fillId="4" borderId="28" xfId="0" applyNumberFormat="1" applyFont="1" applyFill="1" applyBorder="1" applyAlignment="1">
      <alignment horizontal="center" vertical="center"/>
    </xf>
    <xf numFmtId="174" fontId="29" fillId="3" borderId="28" xfId="0" applyNumberFormat="1" applyFont="1" applyFill="1" applyBorder="1" applyAlignment="1">
      <alignment horizontal="center" vertical="center"/>
    </xf>
    <xf numFmtId="0" fontId="27" fillId="10" borderId="28" xfId="0" applyFont="1" applyFill="1" applyBorder="1" applyAlignment="1">
      <alignment horizontal="center" vertical="center"/>
    </xf>
    <xf numFmtId="0" fontId="27" fillId="10" borderId="29" xfId="0" applyFont="1" applyFill="1" applyBorder="1" applyAlignment="1">
      <alignment vertical="center"/>
    </xf>
    <xf numFmtId="176" fontId="27" fillId="10" borderId="30" xfId="0" applyNumberFormat="1" applyFont="1" applyFill="1" applyBorder="1" applyAlignment="1">
      <alignment horizontal="center" vertical="center"/>
    </xf>
    <xf numFmtId="176" fontId="27" fillId="10" borderId="31" xfId="0" applyNumberFormat="1" applyFont="1" applyFill="1" applyBorder="1" applyAlignment="1">
      <alignment horizontal="center" vertical="center"/>
    </xf>
    <xf numFmtId="0" fontId="29" fillId="0" borderId="32" xfId="0" applyFont="1" applyBorder="1" applyAlignment="1">
      <alignment horizontal="center" vertical="center"/>
    </xf>
    <xf numFmtId="3" fontId="29" fillId="4" borderId="32" xfId="0" applyNumberFormat="1" applyFont="1" applyFill="1" applyBorder="1" applyAlignment="1">
      <alignment horizontal="center" vertical="center"/>
    </xf>
    <xf numFmtId="3" fontId="29" fillId="4" borderId="33" xfId="0" applyNumberFormat="1" applyFont="1" applyFill="1" applyBorder="1" applyAlignment="1">
      <alignment horizontal="center" vertical="center"/>
    </xf>
    <xf numFmtId="3" fontId="29" fillId="4" borderId="34" xfId="0" applyNumberFormat="1" applyFont="1" applyFill="1" applyBorder="1" applyAlignment="1">
      <alignment horizontal="center" vertical="center"/>
    </xf>
    <xf numFmtId="3" fontId="25" fillId="4" borderId="0" xfId="0" applyNumberFormat="1" applyFont="1" applyFill="1" applyAlignment="1">
      <alignment horizontal="center" vertical="center"/>
    </xf>
    <xf numFmtId="0" fontId="25" fillId="0" borderId="34" xfId="0" applyFont="1" applyBorder="1" applyAlignment="1">
      <alignment horizontal="center" vertical="center"/>
    </xf>
    <xf numFmtId="3" fontId="25" fillId="4" borderId="34" xfId="0" applyNumberFormat="1" applyFont="1" applyFill="1" applyBorder="1" applyAlignment="1">
      <alignment horizontal="center" vertical="center"/>
    </xf>
    <xf numFmtId="3" fontId="25" fillId="0" borderId="34" xfId="0" applyNumberFormat="1" applyFont="1" applyBorder="1" applyAlignment="1">
      <alignment horizontal="center" vertical="center"/>
    </xf>
    <xf numFmtId="0" fontId="25" fillId="4" borderId="35" xfId="0" applyFont="1" applyFill="1" applyBorder="1" applyAlignment="1">
      <alignment horizontal="center" vertical="center"/>
    </xf>
    <xf numFmtId="3" fontId="27" fillId="10" borderId="28" xfId="0" applyNumberFormat="1" applyFont="1" applyFill="1" applyBorder="1" applyAlignment="1">
      <alignment horizontal="center" vertical="center"/>
    </xf>
    <xf numFmtId="3" fontId="27" fillId="3" borderId="28" xfId="0" applyNumberFormat="1" applyFont="1" applyFill="1" applyBorder="1" applyAlignment="1">
      <alignment horizontal="center" vertical="center"/>
    </xf>
    <xf numFmtId="3" fontId="29" fillId="12" borderId="28" xfId="0" applyNumberFormat="1" applyFont="1" applyFill="1" applyBorder="1" applyAlignment="1">
      <alignment horizontal="center" vertical="center"/>
    </xf>
    <xf numFmtId="3" fontId="25" fillId="0" borderId="0" xfId="0" applyNumberFormat="1" applyFont="1" applyAlignment="1">
      <alignment horizontal="center" vertical="center"/>
    </xf>
    <xf numFmtId="3" fontId="29" fillId="4" borderId="0" xfId="0" applyNumberFormat="1" applyFont="1" applyFill="1" applyAlignment="1">
      <alignment horizontal="center" vertical="center"/>
    </xf>
    <xf numFmtId="0" fontId="27" fillId="10" borderId="28" xfId="0" applyFont="1" applyFill="1" applyBorder="1" applyAlignment="1">
      <alignment vertical="center"/>
    </xf>
    <xf numFmtId="176" fontId="27" fillId="10" borderId="28" xfId="0" applyNumberFormat="1" applyFont="1" applyFill="1" applyBorder="1" applyAlignment="1">
      <alignment horizontal="center" vertical="center"/>
    </xf>
    <xf numFmtId="176" fontId="27" fillId="4" borderId="28" xfId="0" applyNumberFormat="1" applyFont="1" applyFill="1" applyBorder="1" applyAlignment="1">
      <alignment horizontal="center" vertical="center"/>
    </xf>
    <xf numFmtId="0" fontId="4" fillId="4" borderId="32" xfId="0" applyFont="1" applyFill="1" applyBorder="1" applyAlignment="1">
      <alignment horizontal="center" vertical="center"/>
    </xf>
    <xf numFmtId="3" fontId="25" fillId="0" borderId="32" xfId="0" applyNumberFormat="1" applyFont="1" applyBorder="1" applyAlignment="1">
      <alignment horizontal="center" vertical="center"/>
    </xf>
    <xf numFmtId="0" fontId="25" fillId="0" borderId="35" xfId="0" applyFont="1" applyBorder="1" applyAlignment="1">
      <alignment horizontal="center" vertical="center"/>
    </xf>
    <xf numFmtId="3" fontId="25" fillId="0" borderId="35" xfId="0" applyNumberFormat="1" applyFont="1" applyBorder="1" applyAlignment="1">
      <alignment horizontal="center" vertical="center"/>
    </xf>
    <xf numFmtId="3" fontId="11" fillId="4" borderId="35" xfId="0" applyNumberFormat="1" applyFont="1" applyFill="1" applyBorder="1" applyAlignment="1">
      <alignment horizontal="center" vertical="center"/>
    </xf>
    <xf numFmtId="10" fontId="25" fillId="4" borderId="0" xfId="0" applyNumberFormat="1" applyFont="1" applyFill="1" applyAlignment="1">
      <alignment horizontal="center" vertical="center"/>
    </xf>
    <xf numFmtId="3" fontId="29" fillId="12" borderId="35" xfId="0" applyNumberFormat="1" applyFont="1" applyFill="1" applyBorder="1" applyAlignment="1">
      <alignment horizontal="center" vertical="center"/>
    </xf>
    <xf numFmtId="0" fontId="27" fillId="4" borderId="0" xfId="0" applyFont="1" applyFill="1" applyAlignment="1">
      <alignment horizontal="center" vertical="center"/>
    </xf>
    <xf numFmtId="3" fontId="27" fillId="4" borderId="0" xfId="0" applyNumberFormat="1" applyFont="1" applyFill="1" applyAlignment="1">
      <alignment horizontal="center" vertical="center"/>
    </xf>
    <xf numFmtId="0" fontId="29" fillId="0" borderId="0" xfId="0" applyFont="1" applyAlignment="1">
      <alignment horizontal="center" vertical="center"/>
    </xf>
    <xf numFmtId="3" fontId="29" fillId="0" borderId="0" xfId="0" applyNumberFormat="1" applyFont="1" applyAlignment="1">
      <alignment horizontal="center" vertical="center"/>
    </xf>
    <xf numFmtId="3" fontId="29" fillId="0" borderId="1" xfId="0" applyNumberFormat="1" applyFont="1" applyBorder="1" applyAlignment="1">
      <alignment horizontal="center" vertical="center"/>
    </xf>
    <xf numFmtId="3" fontId="29" fillId="4" borderId="1" xfId="0" applyNumberFormat="1" applyFont="1" applyFill="1" applyBorder="1" applyAlignment="1">
      <alignment horizontal="center" vertical="center"/>
    </xf>
    <xf numFmtId="3" fontId="29" fillId="3" borderId="28" xfId="0" applyNumberFormat="1" applyFont="1" applyFill="1" applyBorder="1" applyAlignment="1">
      <alignment horizontal="center" vertical="center"/>
    </xf>
    <xf numFmtId="3" fontId="25" fillId="0" borderId="27" xfId="0" applyNumberFormat="1" applyFont="1" applyBorder="1" applyAlignment="1">
      <alignment horizontal="center" vertical="center"/>
    </xf>
    <xf numFmtId="3" fontId="29" fillId="4" borderId="27" xfId="0" applyNumberFormat="1" applyFont="1" applyFill="1" applyBorder="1" applyAlignment="1">
      <alignment horizontal="center" vertical="center"/>
    </xf>
    <xf numFmtId="0" fontId="29" fillId="11" borderId="28" xfId="0" applyFont="1" applyFill="1" applyBorder="1" applyAlignment="1">
      <alignment horizontal="center" vertical="center" wrapText="1"/>
    </xf>
    <xf numFmtId="3" fontId="32" fillId="11" borderId="28" xfId="0" applyNumberFormat="1" applyFont="1" applyFill="1" applyBorder="1" applyAlignment="1">
      <alignment horizontal="center" vertical="center"/>
    </xf>
    <xf numFmtId="176" fontId="6" fillId="11" borderId="28" xfId="0" applyNumberFormat="1" applyFont="1" applyFill="1" applyBorder="1" applyAlignment="1">
      <alignment horizontal="center" vertical="center"/>
    </xf>
    <xf numFmtId="0" fontId="29" fillId="4" borderId="28" xfId="0" applyFont="1" applyFill="1" applyBorder="1" applyAlignment="1">
      <alignment horizontal="center" vertical="center" wrapText="1"/>
    </xf>
    <xf numFmtId="3" fontId="32" fillId="4" borderId="28" xfId="0" applyNumberFormat="1" applyFont="1" applyFill="1" applyBorder="1" applyAlignment="1">
      <alignment horizontal="center" vertical="center"/>
    </xf>
    <xf numFmtId="176" fontId="6" fillId="4" borderId="28" xfId="0" applyNumberFormat="1" applyFont="1" applyFill="1" applyBorder="1" applyAlignment="1">
      <alignment horizontal="center" vertical="center"/>
    </xf>
    <xf numFmtId="176" fontId="6" fillId="3" borderId="28" xfId="0" applyNumberFormat="1" applyFont="1" applyFill="1" applyBorder="1" applyAlignment="1">
      <alignment horizontal="center" vertical="center"/>
    </xf>
    <xf numFmtId="9" fontId="25" fillId="0" borderId="0" xfId="0" applyNumberFormat="1" applyFont="1" applyAlignment="1">
      <alignment horizontal="center" vertical="center"/>
    </xf>
    <xf numFmtId="177" fontId="29" fillId="0" borderId="0" xfId="0" applyNumberFormat="1" applyFont="1" applyAlignment="1">
      <alignment horizontal="center" vertical="center"/>
    </xf>
    <xf numFmtId="0" fontId="29" fillId="12" borderId="28" xfId="0" applyFont="1" applyFill="1" applyBorder="1" applyAlignment="1">
      <alignment horizontal="center" vertical="center"/>
    </xf>
    <xf numFmtId="10" fontId="29" fillId="0" borderId="28" xfId="0" applyNumberFormat="1" applyFont="1" applyBorder="1" applyAlignment="1">
      <alignment horizontal="center" vertical="center"/>
    </xf>
    <xf numFmtId="9" fontId="29" fillId="0" borderId="0" xfId="0" applyNumberFormat="1" applyFont="1" applyAlignment="1">
      <alignment horizontal="center" vertical="center"/>
    </xf>
    <xf numFmtId="0" fontId="29" fillId="4" borderId="0" xfId="0" applyFont="1" applyFill="1" applyAlignment="1">
      <alignment horizontal="center" vertical="center" wrapText="1"/>
    </xf>
    <xf numFmtId="3" fontId="32" fillId="4" borderId="0" xfId="0" applyNumberFormat="1" applyFont="1" applyFill="1" applyAlignment="1">
      <alignment horizontal="center" vertical="center"/>
    </xf>
    <xf numFmtId="10" fontId="32" fillId="4" borderId="0" xfId="0" applyNumberFormat="1" applyFont="1" applyFill="1" applyAlignment="1">
      <alignment horizontal="center" vertical="center"/>
    </xf>
    <xf numFmtId="0" fontId="29" fillId="12" borderId="32" xfId="0" applyFont="1" applyFill="1" applyBorder="1" applyAlignment="1">
      <alignment horizontal="center" vertical="center"/>
    </xf>
    <xf numFmtId="9" fontId="29" fillId="12" borderId="35" xfId="0" applyNumberFormat="1" applyFont="1" applyFill="1" applyBorder="1" applyAlignment="1">
      <alignment horizontal="center" vertical="center"/>
    </xf>
    <xf numFmtId="178" fontId="25" fillId="4" borderId="0" xfId="11" applyNumberFormat="1" applyFont="1" applyFill="1" applyAlignment="1">
      <alignment horizontal="center" vertical="center"/>
    </xf>
    <xf numFmtId="179" fontId="25" fillId="0" borderId="0" xfId="0" applyNumberFormat="1" applyFont="1" applyAlignment="1">
      <alignment horizontal="center" vertical="center"/>
    </xf>
    <xf numFmtId="1" fontId="29" fillId="4" borderId="0" xfId="0" applyNumberFormat="1" applyFont="1" applyFill="1" applyAlignment="1">
      <alignment horizontal="center" vertical="center"/>
    </xf>
    <xf numFmtId="0" fontId="29" fillId="0" borderId="28" xfId="0" applyFont="1" applyBorder="1" applyAlignment="1">
      <alignment horizontal="center" vertical="center"/>
    </xf>
    <xf numFmtId="180" fontId="29" fillId="0" borderId="28" xfId="0" applyNumberFormat="1" applyFont="1" applyBorder="1" applyAlignment="1">
      <alignment horizontal="center" vertical="center"/>
    </xf>
    <xf numFmtId="0" fontId="13" fillId="0" borderId="0" xfId="0" applyFont="1" applyAlignment="1">
      <alignment horizontal="center" vertical="center"/>
    </xf>
    <xf numFmtId="3" fontId="29" fillId="0" borderId="28" xfId="0" applyNumberFormat="1" applyFont="1" applyBorder="1" applyAlignment="1">
      <alignment horizontal="center" vertical="center"/>
    </xf>
    <xf numFmtId="0" fontId="33" fillId="4" borderId="0" xfId="0" applyFont="1" applyFill="1" applyAlignment="1">
      <alignment horizontal="center" vertical="center"/>
    </xf>
    <xf numFmtId="0" fontId="33" fillId="0" borderId="0" xfId="0" applyFont="1" applyAlignment="1">
      <alignment horizontal="center" vertical="center"/>
    </xf>
    <xf numFmtId="10" fontId="33" fillId="0" borderId="0" xfId="0" applyNumberFormat="1" applyFont="1" applyAlignment="1">
      <alignment horizontal="center" vertical="center"/>
    </xf>
    <xf numFmtId="0" fontId="19" fillId="0" borderId="0" xfId="0" applyFont="1" applyAlignment="1">
      <alignment horizontal="center" vertical="center"/>
    </xf>
    <xf numFmtId="9" fontId="19" fillId="0" borderId="0" xfId="0" applyNumberFormat="1" applyFont="1" applyAlignment="1">
      <alignment horizontal="center" vertical="center"/>
    </xf>
    <xf numFmtId="0" fontId="32" fillId="4" borderId="0" xfId="0" applyFont="1" applyFill="1"/>
    <xf numFmtId="0" fontId="34" fillId="4" borderId="0" xfId="0" applyFont="1" applyFill="1" applyAlignment="1">
      <alignment horizontal="center" vertical="center"/>
    </xf>
    <xf numFmtId="2" fontId="34" fillId="4" borderId="0" xfId="0" applyNumberFormat="1" applyFont="1" applyFill="1" applyAlignment="1">
      <alignment horizontal="center" vertical="center"/>
    </xf>
    <xf numFmtId="181" fontId="25" fillId="4" borderId="0" xfId="0" applyNumberFormat="1" applyFont="1" applyFill="1" applyAlignment="1">
      <alignment horizontal="center" vertical="center"/>
    </xf>
    <xf numFmtId="181" fontId="25" fillId="0" borderId="0" xfId="0" applyNumberFormat="1" applyFont="1" applyAlignment="1">
      <alignment horizontal="center" vertical="center"/>
    </xf>
    <xf numFmtId="182" fontId="11" fillId="4" borderId="0" xfId="0" applyNumberFormat="1" applyFont="1" applyFill="1" applyAlignment="1">
      <alignment horizontal="center" vertical="center"/>
    </xf>
    <xf numFmtId="183" fontId="19" fillId="0" borderId="0" xfId="0" applyNumberFormat="1" applyFont="1" applyAlignment="1">
      <alignment horizontal="center" vertical="center"/>
    </xf>
    <xf numFmtId="184" fontId="19" fillId="0" borderId="0" xfId="0" applyNumberFormat="1" applyFont="1" applyAlignment="1">
      <alignment horizontal="center" vertical="center"/>
    </xf>
    <xf numFmtId="0" fontId="29" fillId="4" borderId="32" xfId="0" applyFont="1" applyFill="1" applyBorder="1" applyAlignment="1">
      <alignment horizontal="center" vertical="center"/>
    </xf>
    <xf numFmtId="0" fontId="29" fillId="0" borderId="34" xfId="0" applyFont="1" applyBorder="1" applyAlignment="1">
      <alignment horizontal="center" vertical="center"/>
    </xf>
    <xf numFmtId="0" fontId="28" fillId="6" borderId="36" xfId="0" applyFont="1" applyFill="1" applyBorder="1" applyAlignment="1">
      <alignment horizontal="center" vertical="center"/>
    </xf>
    <xf numFmtId="0" fontId="28" fillId="6" borderId="16" xfId="0" applyFont="1" applyFill="1" applyBorder="1" applyAlignment="1">
      <alignment horizontal="center" vertical="center"/>
    </xf>
    <xf numFmtId="0" fontId="11" fillId="6" borderId="37" xfId="0" applyFont="1" applyFill="1" applyBorder="1" applyAlignment="1">
      <alignment horizontal="center"/>
    </xf>
    <xf numFmtId="0" fontId="11" fillId="6" borderId="38" xfId="0" applyFont="1" applyFill="1" applyBorder="1" applyAlignment="1">
      <alignment horizontal="center"/>
    </xf>
    <xf numFmtId="0" fontId="27" fillId="10" borderId="39" xfId="0" applyFont="1" applyFill="1" applyBorder="1" applyAlignment="1">
      <alignment vertical="center"/>
    </xf>
    <xf numFmtId="176" fontId="27" fillId="10" borderId="35" xfId="0" applyNumberFormat="1" applyFont="1" applyFill="1" applyBorder="1" applyAlignment="1">
      <alignment horizontal="center" vertical="center"/>
    </xf>
    <xf numFmtId="3" fontId="29" fillId="0" borderId="32" xfId="0" applyNumberFormat="1" applyFont="1" applyBorder="1" applyAlignment="1">
      <alignment horizontal="center" vertical="center"/>
    </xf>
    <xf numFmtId="0" fontId="25" fillId="3" borderId="34" xfId="0" applyFont="1" applyFill="1" applyBorder="1" applyAlignment="1">
      <alignment horizontal="center" vertical="center"/>
    </xf>
    <xf numFmtId="3" fontId="25" fillId="3" borderId="34" xfId="0" applyNumberFormat="1" applyFont="1" applyFill="1" applyBorder="1" applyAlignment="1">
      <alignment horizontal="center" vertical="center"/>
    </xf>
    <xf numFmtId="3" fontId="25" fillId="4" borderId="35" xfId="0" applyNumberFormat="1" applyFont="1" applyFill="1" applyBorder="1" applyAlignment="1">
      <alignment horizontal="center" vertical="center"/>
    </xf>
    <xf numFmtId="3" fontId="25" fillId="4" borderId="40" xfId="0" applyNumberFormat="1" applyFont="1" applyFill="1" applyBorder="1" applyAlignment="1">
      <alignment horizontal="center" vertical="center"/>
    </xf>
    <xf numFmtId="0" fontId="29" fillId="12" borderId="41" xfId="0" applyFont="1" applyFill="1" applyBorder="1" applyAlignment="1">
      <alignment horizontal="center" vertical="center"/>
    </xf>
    <xf numFmtId="3" fontId="29" fillId="12" borderId="42" xfId="0" applyNumberFormat="1" applyFont="1" applyFill="1" applyBorder="1" applyAlignment="1">
      <alignment horizontal="center" vertical="center"/>
    </xf>
    <xf numFmtId="3" fontId="29" fillId="3" borderId="42" xfId="0" applyNumberFormat="1" applyFont="1" applyFill="1" applyBorder="1" applyAlignment="1">
      <alignment horizontal="center" vertical="center"/>
    </xf>
    <xf numFmtId="3" fontId="29" fillId="3" borderId="43" xfId="0" applyNumberFormat="1" applyFont="1" applyFill="1" applyBorder="1" applyAlignment="1">
      <alignment horizontal="center" vertical="center"/>
    </xf>
    <xf numFmtId="0" fontId="25" fillId="4" borderId="34" xfId="0" applyFont="1" applyFill="1" applyBorder="1" applyAlignment="1">
      <alignment horizontal="center" vertical="center"/>
    </xf>
    <xf numFmtId="0" fontId="29" fillId="12" borderId="35" xfId="0" applyFont="1" applyFill="1" applyBorder="1" applyAlignment="1">
      <alignment horizontal="center" vertical="center"/>
    </xf>
    <xf numFmtId="3" fontId="29" fillId="3" borderId="35" xfId="0" applyNumberFormat="1" applyFont="1" applyFill="1" applyBorder="1" applyAlignment="1">
      <alignment horizontal="center" vertical="center"/>
    </xf>
    <xf numFmtId="3" fontId="25" fillId="0" borderId="44" xfId="0" applyNumberFormat="1" applyFont="1" applyBorder="1" applyAlignment="1">
      <alignment horizontal="center" vertical="center"/>
    </xf>
    <xf numFmtId="164" fontId="25" fillId="4" borderId="0" xfId="0" applyNumberFormat="1" applyFont="1" applyFill="1" applyAlignment="1">
      <alignment horizontal="center" vertical="center"/>
    </xf>
    <xf numFmtId="0" fontId="8" fillId="2" borderId="28" xfId="0" applyFont="1" applyFill="1" applyBorder="1" applyAlignment="1">
      <alignment horizontal="center" vertical="center"/>
    </xf>
    <xf numFmtId="10" fontId="8" fillId="2" borderId="28" xfId="0" applyNumberFormat="1" applyFont="1" applyFill="1" applyBorder="1" applyAlignment="1">
      <alignment horizontal="center" vertical="center"/>
    </xf>
    <xf numFmtId="0" fontId="8" fillId="0" borderId="45" xfId="0" applyFont="1" applyBorder="1" applyAlignment="1">
      <alignment horizontal="center" vertical="center"/>
    </xf>
    <xf numFmtId="9" fontId="8" fillId="0" borderId="45" xfId="0" applyNumberFormat="1" applyFont="1" applyBorder="1" applyAlignment="1">
      <alignment horizontal="center" vertical="center"/>
    </xf>
    <xf numFmtId="0" fontId="8" fillId="12" borderId="46" xfId="0" applyFont="1" applyFill="1" applyBorder="1" applyAlignment="1">
      <alignment horizontal="center" vertical="center"/>
    </xf>
    <xf numFmtId="10" fontId="8" fillId="12" borderId="46" xfId="0" applyNumberFormat="1" applyFont="1" applyFill="1" applyBorder="1" applyAlignment="1">
      <alignment horizontal="center" vertical="center"/>
    </xf>
    <xf numFmtId="0" fontId="8" fillId="12" borderId="28" xfId="0" applyFont="1" applyFill="1" applyBorder="1" applyAlignment="1">
      <alignment horizontal="center" vertical="center"/>
    </xf>
    <xf numFmtId="1" fontId="8" fillId="12" borderId="28" xfId="0" applyNumberFormat="1" applyFont="1" applyFill="1" applyBorder="1" applyAlignment="1">
      <alignment horizontal="center" vertical="center"/>
    </xf>
    <xf numFmtId="0" fontId="8" fillId="3" borderId="47" xfId="0" applyFont="1" applyFill="1" applyBorder="1" applyAlignment="1">
      <alignment horizontal="center" vertical="center"/>
    </xf>
    <xf numFmtId="183" fontId="8" fillId="4" borderId="47" xfId="0" applyNumberFormat="1" applyFont="1" applyFill="1" applyBorder="1" applyAlignment="1">
      <alignment horizontal="center" vertical="center"/>
    </xf>
    <xf numFmtId="0" fontId="8" fillId="3" borderId="46" xfId="0" applyFont="1" applyFill="1" applyBorder="1" applyAlignment="1">
      <alignment horizontal="center" vertical="center"/>
    </xf>
    <xf numFmtId="3" fontId="8" fillId="4" borderId="46" xfId="0" applyNumberFormat="1" applyFont="1" applyFill="1" applyBorder="1" applyAlignment="1">
      <alignment horizontal="center" vertical="center"/>
    </xf>
    <xf numFmtId="3" fontId="8" fillId="4" borderId="47" xfId="0" applyNumberFormat="1" applyFont="1" applyFill="1" applyBorder="1" applyAlignment="1">
      <alignment horizontal="center" vertical="center"/>
    </xf>
    <xf numFmtId="3" fontId="8" fillId="13" borderId="28" xfId="0" applyNumberFormat="1" applyFont="1" applyFill="1" applyBorder="1" applyAlignment="1">
      <alignment horizontal="center" vertical="center"/>
    </xf>
    <xf numFmtId="0" fontId="8" fillId="0" borderId="34" xfId="0" applyFont="1" applyBorder="1" applyAlignment="1">
      <alignment horizontal="center" vertical="center"/>
    </xf>
    <xf numFmtId="10" fontId="8" fillId="4" borderId="34" xfId="0" applyNumberFormat="1" applyFont="1" applyFill="1" applyBorder="1" applyAlignment="1">
      <alignment horizontal="center" vertical="center"/>
    </xf>
    <xf numFmtId="0" fontId="8" fillId="0" borderId="35" xfId="0" applyFont="1" applyBorder="1" applyAlignment="1">
      <alignment horizontal="center" vertical="center"/>
    </xf>
    <xf numFmtId="3" fontId="8" fillId="4" borderId="35" xfId="0" applyNumberFormat="1" applyFont="1" applyFill="1" applyBorder="1" applyAlignment="1">
      <alignment horizontal="center" vertical="center"/>
    </xf>
    <xf numFmtId="0" fontId="28" fillId="3" borderId="0" xfId="0" applyFont="1" applyFill="1" applyAlignment="1">
      <alignment horizontal="center" vertical="center"/>
    </xf>
    <xf numFmtId="9" fontId="11" fillId="3" borderId="0" xfId="0" applyNumberFormat="1" applyFont="1" applyFill="1" applyAlignment="1">
      <alignment horizontal="center"/>
    </xf>
    <xf numFmtId="10" fontId="11" fillId="3" borderId="0" xfId="0" applyNumberFormat="1" applyFont="1" applyFill="1" applyAlignment="1">
      <alignment horizontal="center"/>
    </xf>
    <xf numFmtId="0" fontId="29" fillId="4" borderId="0" xfId="0" applyFont="1" applyFill="1" applyAlignment="1">
      <alignment vertical="center"/>
    </xf>
    <xf numFmtId="10" fontId="29" fillId="4" borderId="0" xfId="0" applyNumberFormat="1" applyFont="1" applyFill="1" applyAlignment="1">
      <alignment vertical="center"/>
    </xf>
    <xf numFmtId="0" fontId="35" fillId="0" borderId="0" xfId="0" applyFont="1" applyAlignment="1">
      <alignment horizontal="center"/>
    </xf>
    <xf numFmtId="9" fontId="0" fillId="0" borderId="0" xfId="0" applyNumberFormat="1"/>
    <xf numFmtId="0" fontId="25" fillId="0" borderId="33" xfId="0" applyFont="1" applyBorder="1" applyAlignment="1">
      <alignment vertical="center"/>
    </xf>
    <xf numFmtId="3" fontId="25" fillId="0" borderId="48" xfId="0" applyNumberFormat="1" applyFont="1" applyBorder="1" applyAlignment="1">
      <alignment horizontal="center" vertical="center"/>
    </xf>
    <xf numFmtId="3" fontId="0" fillId="0" borderId="0" xfId="0" applyNumberFormat="1"/>
    <xf numFmtId="0" fontId="25" fillId="3" borderId="49" xfId="0" applyFont="1" applyFill="1" applyBorder="1" applyAlignment="1">
      <alignment vertical="center"/>
    </xf>
    <xf numFmtId="0" fontId="25" fillId="0" borderId="50" xfId="0" applyFont="1" applyBorder="1" applyAlignment="1">
      <alignment vertical="center"/>
    </xf>
    <xf numFmtId="0" fontId="25" fillId="0" borderId="49" xfId="0" applyFont="1" applyBorder="1" applyAlignment="1">
      <alignment vertical="center"/>
    </xf>
    <xf numFmtId="3" fontId="8" fillId="3" borderId="28" xfId="0" applyNumberFormat="1" applyFont="1" applyFill="1" applyBorder="1" applyAlignment="1">
      <alignment horizontal="center" vertical="center"/>
    </xf>
    <xf numFmtId="3" fontId="0" fillId="0" borderId="0" xfId="0" applyNumberFormat="1" applyAlignment="1">
      <alignment horizontal="center" vertical="center"/>
    </xf>
    <xf numFmtId="10" fontId="0" fillId="0" borderId="0" xfId="0" applyNumberFormat="1"/>
    <xf numFmtId="0" fontId="25" fillId="0" borderId="0" xfId="0" applyFont="1"/>
    <xf numFmtId="0" fontId="29" fillId="0" borderId="0" xfId="0" applyFont="1"/>
    <xf numFmtId="0" fontId="9" fillId="7" borderId="2" xfId="0" applyFont="1" applyFill="1" applyBorder="1"/>
    <xf numFmtId="0" fontId="13" fillId="7" borderId="3" xfId="0" applyFont="1" applyFill="1" applyBorder="1"/>
    <xf numFmtId="37" fontId="9" fillId="7" borderId="51" xfId="0" applyNumberFormat="1" applyFont="1" applyFill="1" applyBorder="1" applyAlignment="1">
      <alignment horizontal="center"/>
    </xf>
    <xf numFmtId="37" fontId="9" fillId="7" borderId="52" xfId="0" applyNumberFormat="1" applyFont="1" applyFill="1" applyBorder="1" applyAlignment="1">
      <alignment horizontal="center"/>
    </xf>
    <xf numFmtId="0" fontId="9" fillId="7" borderId="3" xfId="0" applyFont="1" applyFill="1" applyBorder="1" applyAlignment="1">
      <alignment horizontal="center"/>
    </xf>
    <xf numFmtId="0" fontId="5" fillId="0" borderId="53" xfId="0" applyFont="1" applyBorder="1"/>
    <xf numFmtId="0" fontId="5" fillId="0" borderId="54" xfId="0" applyFont="1" applyBorder="1"/>
    <xf numFmtId="0" fontId="5" fillId="0" borderId="24" xfId="0" applyFont="1" applyBorder="1"/>
    <xf numFmtId="0" fontId="7" fillId="0" borderId="53" xfId="0" applyFont="1" applyBorder="1"/>
    <xf numFmtId="0" fontId="7" fillId="0" borderId="54" xfId="0" applyFont="1" applyBorder="1"/>
    <xf numFmtId="37" fontId="7" fillId="0" borderId="54" xfId="0" applyNumberFormat="1" applyFont="1" applyBorder="1" applyAlignment="1">
      <alignment horizontal="center"/>
    </xf>
    <xf numFmtId="37" fontId="5" fillId="0" borderId="17" xfId="0" applyNumberFormat="1" applyFont="1" applyBorder="1" applyAlignment="1">
      <alignment horizontal="center"/>
    </xf>
    <xf numFmtId="37" fontId="5" fillId="0" borderId="24" xfId="0" applyNumberFormat="1" applyFont="1" applyBorder="1" applyAlignment="1">
      <alignment horizontal="center"/>
    </xf>
    <xf numFmtId="37" fontId="5" fillId="0" borderId="54" xfId="0" applyNumberFormat="1" applyFont="1" applyBorder="1" applyAlignment="1">
      <alignment horizontal="center"/>
    </xf>
    <xf numFmtId="0" fontId="7" fillId="0" borderId="2" xfId="0" applyFont="1" applyBorder="1"/>
    <xf numFmtId="0" fontId="7" fillId="0" borderId="3" xfId="0" applyFont="1" applyBorder="1"/>
    <xf numFmtId="37" fontId="7" fillId="0" borderId="3" xfId="0" applyNumberFormat="1" applyFont="1" applyBorder="1" applyAlignment="1">
      <alignment horizontal="center"/>
    </xf>
    <xf numFmtId="0" fontId="7" fillId="0" borderId="26" xfId="0" applyFont="1" applyBorder="1"/>
    <xf numFmtId="37" fontId="23" fillId="0" borderId="51" xfId="0" applyNumberFormat="1" applyFont="1" applyBorder="1" applyAlignment="1">
      <alignment horizontal="center"/>
    </xf>
    <xf numFmtId="37" fontId="7" fillId="0" borderId="26" xfId="0" applyNumberFormat="1" applyFont="1" applyBorder="1" applyAlignment="1">
      <alignment horizontal="center"/>
    </xf>
    <xf numFmtId="37" fontId="5" fillId="0" borderId="51" xfId="0" applyNumberFormat="1" applyFont="1" applyBorder="1" applyAlignment="1">
      <alignment horizontal="center"/>
    </xf>
    <xf numFmtId="37" fontId="5" fillId="0" borderId="52" xfId="0" applyNumberFormat="1" applyFont="1" applyBorder="1" applyAlignment="1">
      <alignment horizontal="center"/>
    </xf>
    <xf numFmtId="37" fontId="7" fillId="0" borderId="0" xfId="0" applyNumberFormat="1" applyFont="1" applyAlignment="1">
      <alignment horizontal="center"/>
    </xf>
    <xf numFmtId="37" fontId="7" fillId="3" borderId="3" xfId="0" applyNumberFormat="1" applyFont="1" applyFill="1" applyBorder="1" applyAlignment="1">
      <alignment horizontal="center"/>
    </xf>
    <xf numFmtId="0" fontId="36" fillId="0" borderId="0" xfId="0" applyFont="1" applyAlignment="1">
      <alignment vertical="center"/>
    </xf>
    <xf numFmtId="3" fontId="36" fillId="0" borderId="0" xfId="0" applyNumberFormat="1" applyFont="1" applyAlignment="1">
      <alignment vertical="center"/>
    </xf>
    <xf numFmtId="0" fontId="0" fillId="0" borderId="0" xfId="0" applyAlignment="1">
      <alignment vertical="center"/>
    </xf>
    <xf numFmtId="3" fontId="4" fillId="4" borderId="32" xfId="0" applyNumberFormat="1" applyFont="1" applyFill="1" applyBorder="1" applyAlignment="1">
      <alignment horizontal="center"/>
    </xf>
    <xf numFmtId="3" fontId="11" fillId="4" borderId="32" xfId="0" applyNumberFormat="1" applyFont="1" applyFill="1" applyBorder="1" applyAlignment="1">
      <alignment horizontal="center"/>
    </xf>
    <xf numFmtId="4" fontId="4" fillId="4" borderId="34" xfId="0" applyNumberFormat="1" applyFont="1" applyFill="1" applyBorder="1" applyAlignment="1">
      <alignment horizontal="center"/>
    </xf>
    <xf numFmtId="3" fontId="11" fillId="4" borderId="34" xfId="0" applyNumberFormat="1" applyFont="1" applyFill="1" applyBorder="1" applyAlignment="1">
      <alignment horizontal="center"/>
    </xf>
    <xf numFmtId="3" fontId="11" fillId="4" borderId="28" xfId="0" applyNumberFormat="1" applyFont="1" applyFill="1" applyBorder="1" applyAlignment="1">
      <alignment horizontal="center" vertical="center"/>
    </xf>
    <xf numFmtId="3" fontId="11" fillId="0" borderId="0" xfId="0" applyNumberFormat="1" applyFont="1" applyAlignment="1">
      <alignment vertical="center"/>
    </xf>
    <xf numFmtId="3" fontId="0" fillId="4" borderId="32" xfId="0" applyNumberFormat="1" applyFill="1" applyBorder="1" applyAlignment="1">
      <alignment horizontal="center"/>
    </xf>
    <xf numFmtId="4" fontId="0" fillId="4" borderId="34" xfId="0" applyNumberFormat="1" applyFill="1" applyBorder="1" applyAlignment="1">
      <alignment horizontal="center"/>
    </xf>
    <xf numFmtId="3" fontId="0" fillId="4" borderId="34" xfId="0" applyNumberFormat="1" applyFill="1" applyBorder="1" applyAlignment="1">
      <alignment horizontal="center"/>
    </xf>
    <xf numFmtId="0" fontId="28" fillId="6" borderId="28" xfId="0" applyFont="1" applyFill="1" applyBorder="1" applyAlignment="1">
      <alignment horizontal="left" vertical="center"/>
    </xf>
    <xf numFmtId="3" fontId="11" fillId="6" borderId="28" xfId="0" applyNumberFormat="1" applyFont="1" applyFill="1" applyBorder="1" applyAlignment="1">
      <alignment horizontal="center" vertical="center"/>
    </xf>
    <xf numFmtId="3" fontId="9" fillId="14" borderId="28" xfId="0" applyNumberFormat="1" applyFont="1" applyFill="1" applyBorder="1" applyAlignment="1">
      <alignment horizontal="center" vertical="center"/>
    </xf>
    <xf numFmtId="3" fontId="0" fillId="0" borderId="0" xfId="0" applyNumberFormat="1" applyAlignment="1">
      <alignment vertical="center"/>
    </xf>
    <xf numFmtId="0" fontId="4" fillId="0" borderId="0" xfId="0" applyFont="1"/>
    <xf numFmtId="3" fontId="11" fillId="0" borderId="0" xfId="0" applyNumberFormat="1" applyFont="1"/>
    <xf numFmtId="0" fontId="34" fillId="0" borderId="0" xfId="0" applyFont="1" applyAlignment="1">
      <alignment horizontal="center"/>
    </xf>
    <xf numFmtId="0" fontId="4" fillId="4" borderId="33" xfId="0" applyFont="1" applyFill="1" applyBorder="1" applyAlignment="1">
      <alignment vertical="center"/>
    </xf>
    <xf numFmtId="3" fontId="4" fillId="4" borderId="55" xfId="0" applyNumberFormat="1" applyFont="1" applyFill="1" applyBorder="1" applyAlignment="1">
      <alignment horizontal="right" vertical="center"/>
    </xf>
    <xf numFmtId="0" fontId="4" fillId="4" borderId="48" xfId="0" applyFont="1" applyFill="1" applyBorder="1" applyAlignment="1">
      <alignment horizontal="center" vertical="center"/>
    </xf>
    <xf numFmtId="0" fontId="25" fillId="4" borderId="49" xfId="0" applyFont="1" applyFill="1" applyBorder="1" applyAlignment="1">
      <alignment vertical="center"/>
    </xf>
    <xf numFmtId="3" fontId="25" fillId="4" borderId="0" xfId="0" applyNumberFormat="1" applyFont="1" applyFill="1" applyAlignment="1">
      <alignment horizontal="right" vertical="center"/>
    </xf>
    <xf numFmtId="0" fontId="25" fillId="4" borderId="50" xfId="0" applyFont="1" applyFill="1" applyBorder="1" applyAlignment="1">
      <alignment horizontal="center" vertical="center"/>
    </xf>
    <xf numFmtId="0" fontId="0" fillId="4" borderId="0" xfId="0" applyFill="1"/>
    <xf numFmtId="0" fontId="25" fillId="4" borderId="40" xfId="0" applyFont="1" applyFill="1" applyBorder="1" applyAlignment="1">
      <alignment vertical="center"/>
    </xf>
    <xf numFmtId="3" fontId="25" fillId="4" borderId="56" xfId="0" applyNumberFormat="1" applyFont="1" applyFill="1" applyBorder="1" applyAlignment="1">
      <alignment horizontal="right" vertical="center"/>
    </xf>
    <xf numFmtId="0" fontId="25" fillId="4" borderId="57" xfId="0" applyFont="1" applyFill="1" applyBorder="1" applyAlignment="1">
      <alignment horizontal="center" vertical="center"/>
    </xf>
    <xf numFmtId="3" fontId="0" fillId="0" borderId="0" xfId="0" applyNumberFormat="1" applyAlignment="1">
      <alignment horizontal="center"/>
    </xf>
    <xf numFmtId="185" fontId="25" fillId="0" borderId="0" xfId="0" applyNumberFormat="1" applyFont="1"/>
    <xf numFmtId="0" fontId="37" fillId="3" borderId="0" xfId="0" applyFont="1" applyFill="1" applyAlignment="1">
      <alignment horizontal="center" vertical="center" wrapText="1"/>
    </xf>
    <xf numFmtId="164" fontId="0" fillId="3" borderId="58" xfId="0" applyNumberFormat="1" applyFill="1" applyBorder="1" applyAlignment="1">
      <alignment horizontal="center"/>
    </xf>
    <xf numFmtId="0" fontId="37" fillId="4" borderId="0" xfId="0" applyFont="1" applyFill="1" applyAlignment="1">
      <alignment horizontal="center" vertical="center"/>
    </xf>
    <xf numFmtId="174" fontId="39" fillId="0" borderId="58" xfId="0" applyNumberFormat="1" applyFont="1" applyBorder="1" applyAlignment="1">
      <alignment horizontal="center"/>
    </xf>
    <xf numFmtId="0" fontId="40" fillId="0" borderId="0" xfId="0" applyFont="1" applyAlignment="1">
      <alignment horizontal="center" vertical="center" wrapText="1"/>
    </xf>
    <xf numFmtId="186" fontId="41" fillId="0" borderId="58" xfId="0" applyNumberFormat="1" applyFont="1" applyBorder="1" applyAlignment="1">
      <alignment horizontal="center"/>
    </xf>
    <xf numFmtId="3" fontId="0" fillId="0" borderId="58" xfId="0" applyNumberFormat="1" applyBorder="1" applyAlignment="1">
      <alignment horizontal="center"/>
    </xf>
    <xf numFmtId="4" fontId="0" fillId="0" borderId="58" xfId="0" applyNumberFormat="1" applyBorder="1" applyAlignment="1">
      <alignment horizontal="center"/>
    </xf>
    <xf numFmtId="10" fontId="42" fillId="0" borderId="58" xfId="0" applyNumberFormat="1" applyFont="1" applyBorder="1" applyAlignment="1">
      <alignment horizontal="center"/>
    </xf>
    <xf numFmtId="0" fontId="43" fillId="4" borderId="0" xfId="0" applyFont="1" applyFill="1" applyAlignment="1">
      <alignment horizontal="left"/>
    </xf>
    <xf numFmtId="0" fontId="44" fillId="0" borderId="0" xfId="0" applyFont="1" applyAlignment="1">
      <alignment horizontal="center" vertical="center" wrapText="1"/>
    </xf>
    <xf numFmtId="0" fontId="42" fillId="0" borderId="58" xfId="0" applyFont="1" applyBorder="1" applyAlignment="1">
      <alignment horizontal="center"/>
    </xf>
    <xf numFmtId="1" fontId="42" fillId="0" borderId="58" xfId="0" applyNumberFormat="1" applyFont="1" applyBorder="1" applyAlignment="1">
      <alignment horizontal="center"/>
    </xf>
    <xf numFmtId="9" fontId="0" fillId="4" borderId="0" xfId="0" applyNumberFormat="1" applyFill="1" applyAlignment="1">
      <alignment horizontal="center"/>
    </xf>
    <xf numFmtId="185" fontId="0" fillId="4" borderId="0" xfId="0" applyNumberFormat="1" applyFill="1"/>
    <xf numFmtId="187" fontId="0" fillId="4" borderId="0" xfId="0" applyNumberFormat="1" applyFill="1"/>
    <xf numFmtId="0" fontId="37" fillId="4" borderId="2" xfId="0" applyFont="1" applyFill="1" applyBorder="1" applyAlignment="1">
      <alignment horizontal="center" vertical="center" wrapText="1"/>
    </xf>
    <xf numFmtId="0" fontId="37" fillId="4" borderId="59" xfId="0" applyFont="1" applyFill="1" applyBorder="1" applyAlignment="1">
      <alignment horizontal="center" vertical="center" wrapText="1"/>
    </xf>
    <xf numFmtId="0" fontId="37" fillId="4" borderId="3" xfId="0" applyFont="1" applyFill="1" applyBorder="1" applyAlignment="1">
      <alignment horizontal="center" vertical="center" wrapText="1"/>
    </xf>
    <xf numFmtId="0" fontId="37" fillId="3" borderId="3" xfId="0" applyFont="1" applyFill="1" applyBorder="1" applyAlignment="1">
      <alignment horizontal="center" vertical="center"/>
    </xf>
    <xf numFmtId="0" fontId="46" fillId="15" borderId="0" xfId="0" applyFont="1" applyFill="1" applyAlignment="1">
      <alignment horizontal="center"/>
    </xf>
    <xf numFmtId="188" fontId="46" fillId="15" borderId="0" xfId="0" applyNumberFormat="1" applyFont="1" applyFill="1" applyAlignment="1">
      <alignment horizontal="center"/>
    </xf>
    <xf numFmtId="164" fontId="47" fillId="15" borderId="0" xfId="0" applyNumberFormat="1" applyFont="1" applyFill="1" applyAlignment="1">
      <alignment horizontal="center"/>
    </xf>
    <xf numFmtId="189" fontId="0" fillId="0" borderId="0" xfId="11" applyNumberFormat="1" applyFont="1"/>
    <xf numFmtId="0" fontId="48" fillId="0" borderId="0" xfId="0" applyFont="1"/>
    <xf numFmtId="0" fontId="46" fillId="0" borderId="0" xfId="0" applyFont="1" applyAlignment="1">
      <alignment horizontal="center"/>
    </xf>
    <xf numFmtId="1" fontId="46" fillId="0" borderId="0" xfId="0" applyNumberFormat="1" applyFont="1" applyAlignment="1">
      <alignment horizontal="center"/>
    </xf>
    <xf numFmtId="164" fontId="46" fillId="0" borderId="0" xfId="0" applyNumberFormat="1" applyFont="1" applyAlignment="1">
      <alignment horizontal="center"/>
    </xf>
    <xf numFmtId="4" fontId="0" fillId="0" borderId="0" xfId="0" applyNumberFormat="1" applyProtection="1">
      <protection locked="0"/>
    </xf>
    <xf numFmtId="188" fontId="46" fillId="0" borderId="0" xfId="0" applyNumberFormat="1" applyFont="1" applyAlignment="1">
      <alignment horizontal="center"/>
    </xf>
    <xf numFmtId="0" fontId="49" fillId="0" borderId="0" xfId="0" applyFont="1"/>
    <xf numFmtId="4" fontId="0" fillId="0" borderId="0" xfId="0" applyNumberFormat="1"/>
    <xf numFmtId="0" fontId="27" fillId="10" borderId="60" xfId="0" applyFont="1" applyFill="1" applyBorder="1" applyAlignment="1">
      <alignment horizontal="center" vertical="center"/>
    </xf>
    <xf numFmtId="0" fontId="27" fillId="10" borderId="61" xfId="0" applyFont="1" applyFill="1" applyBorder="1" applyAlignment="1">
      <alignment vertical="center"/>
    </xf>
    <xf numFmtId="176" fontId="27" fillId="10" borderId="62" xfId="0" applyNumberFormat="1" applyFont="1" applyFill="1" applyBorder="1" applyAlignment="1">
      <alignment horizontal="center" vertical="center"/>
    </xf>
    <xf numFmtId="176" fontId="27" fillId="10" borderId="63" xfId="0" applyNumberFormat="1" applyFont="1" applyFill="1" applyBorder="1" applyAlignment="1">
      <alignment horizontal="center" vertical="center"/>
    </xf>
    <xf numFmtId="10" fontId="25" fillId="0" borderId="32" xfId="0" applyNumberFormat="1" applyFont="1" applyBorder="1" applyAlignment="1">
      <alignment horizontal="center" vertical="center"/>
    </xf>
    <xf numFmtId="9" fontId="25" fillId="0" borderId="32" xfId="0" applyNumberFormat="1" applyFont="1" applyBorder="1" applyAlignment="1">
      <alignment horizontal="center" vertical="center"/>
    </xf>
    <xf numFmtId="9" fontId="25" fillId="3" borderId="32" xfId="0" applyNumberFormat="1" applyFont="1" applyFill="1" applyBorder="1" applyAlignment="1">
      <alignment horizontal="center" vertical="center"/>
    </xf>
    <xf numFmtId="10" fontId="25" fillId="0" borderId="34" xfId="0" applyNumberFormat="1" applyFont="1" applyBorder="1" applyAlignment="1">
      <alignment horizontal="center" vertical="center"/>
    </xf>
    <xf numFmtId="9" fontId="25" fillId="0" borderId="34" xfId="0" applyNumberFormat="1" applyFont="1" applyBorder="1" applyAlignment="1">
      <alignment horizontal="center" vertical="center"/>
    </xf>
    <xf numFmtId="9" fontId="29" fillId="0" borderId="35" xfId="0" applyNumberFormat="1" applyFont="1" applyBorder="1" applyAlignment="1">
      <alignment horizontal="center" vertical="center"/>
    </xf>
    <xf numFmtId="9" fontId="25" fillId="0" borderId="35" xfId="0" applyNumberFormat="1" applyFont="1" applyBorder="1" applyAlignment="1">
      <alignment horizontal="center" vertical="center"/>
    </xf>
    <xf numFmtId="10" fontId="25" fillId="0" borderId="44" xfId="0" applyNumberFormat="1" applyFont="1" applyBorder="1" applyAlignment="1">
      <alignment horizontal="center" vertical="center"/>
    </xf>
    <xf numFmtId="9" fontId="25" fillId="0" borderId="44" xfId="0" applyNumberFormat="1" applyFont="1" applyBorder="1" applyAlignment="1">
      <alignment horizontal="center" vertical="center"/>
    </xf>
    <xf numFmtId="10" fontId="25" fillId="0" borderId="35" xfId="0" applyNumberFormat="1" applyFont="1" applyBorder="1" applyAlignment="1">
      <alignment horizontal="center" vertical="center"/>
    </xf>
    <xf numFmtId="0" fontId="50" fillId="0" borderId="0" xfId="0" applyFont="1"/>
    <xf numFmtId="0" fontId="50" fillId="0" borderId="0" xfId="0" applyFont="1" applyAlignment="1">
      <alignment horizontal="center"/>
    </xf>
    <xf numFmtId="15" fontId="29" fillId="3" borderId="0" xfId="0" applyNumberFormat="1" applyFont="1" applyFill="1" applyAlignment="1">
      <alignment horizontal="center" vertical="center"/>
    </xf>
    <xf numFmtId="15" fontId="11" fillId="3" borderId="0" xfId="0" applyNumberFormat="1" applyFont="1" applyFill="1" applyAlignment="1">
      <alignment horizontal="center"/>
    </xf>
    <xf numFmtId="0" fontId="11" fillId="0" borderId="0" xfId="0" applyFont="1" applyAlignment="1">
      <alignment horizontal="center"/>
    </xf>
    <xf numFmtId="0" fontId="51" fillId="0" borderId="0" xfId="0" applyFont="1"/>
    <xf numFmtId="0" fontId="51" fillId="0" borderId="33" xfId="0" applyFont="1" applyBorder="1"/>
    <xf numFmtId="0" fontId="51" fillId="0" borderId="48" xfId="0" applyFont="1" applyBorder="1"/>
    <xf numFmtId="0" fontId="51" fillId="0" borderId="32" xfId="0" applyFont="1" applyBorder="1" applyAlignment="1">
      <alignment horizontal="center"/>
    </xf>
    <xf numFmtId="0" fontId="52" fillId="0" borderId="32" xfId="0" applyFont="1" applyBorder="1" applyAlignment="1">
      <alignment horizontal="center"/>
    </xf>
    <xf numFmtId="0" fontId="53" fillId="0" borderId="22" xfId="0" applyFont="1" applyBorder="1" applyAlignment="1">
      <alignment horizontal="center" vertical="center"/>
    </xf>
    <xf numFmtId="10" fontId="53" fillId="0" borderId="22" xfId="0" applyNumberFormat="1" applyFont="1" applyBorder="1" applyAlignment="1">
      <alignment horizontal="center" vertical="center"/>
    </xf>
    <xf numFmtId="0" fontId="52" fillId="0" borderId="49" xfId="0" applyFont="1" applyBorder="1"/>
    <xf numFmtId="0" fontId="51" fillId="0" borderId="50" xfId="0" applyFont="1" applyBorder="1"/>
    <xf numFmtId="37" fontId="51" fillId="0" borderId="34" xfId="0" applyNumberFormat="1" applyFont="1" applyBorder="1" applyAlignment="1">
      <alignment horizontal="center"/>
    </xf>
    <xf numFmtId="37" fontId="52" fillId="0" borderId="34" xfId="0" applyNumberFormat="1" applyFont="1" applyBorder="1" applyAlignment="1">
      <alignment horizontal="center"/>
    </xf>
    <xf numFmtId="9" fontId="54" fillId="4" borderId="22" xfId="0" applyNumberFormat="1" applyFont="1" applyFill="1" applyBorder="1" applyAlignment="1">
      <alignment horizontal="center" vertical="center"/>
    </xf>
    <xf numFmtId="10" fontId="53" fillId="4" borderId="22" xfId="0" applyNumberFormat="1" applyFont="1" applyFill="1" applyBorder="1" applyAlignment="1">
      <alignment horizontal="center" vertical="center"/>
    </xf>
    <xf numFmtId="0" fontId="55" fillId="13" borderId="64" xfId="0" applyFont="1" applyFill="1" applyBorder="1"/>
    <xf numFmtId="0" fontId="55" fillId="13" borderId="65" xfId="0" applyFont="1" applyFill="1" applyBorder="1"/>
    <xf numFmtId="37" fontId="55" fillId="13" borderId="28" xfId="0" applyNumberFormat="1" applyFont="1" applyFill="1" applyBorder="1" applyAlignment="1">
      <alignment horizontal="center"/>
    </xf>
    <xf numFmtId="3" fontId="50" fillId="0" borderId="0" xfId="11" applyNumberFormat="1" applyFont="1"/>
    <xf numFmtId="37" fontId="51" fillId="0" borderId="0" xfId="0" applyNumberFormat="1" applyFont="1" applyAlignment="1">
      <alignment horizontal="center"/>
    </xf>
    <xf numFmtId="9" fontId="53" fillId="0" borderId="22" xfId="0" applyNumberFormat="1" applyFont="1" applyBorder="1" applyAlignment="1">
      <alignment horizontal="center" vertical="center"/>
    </xf>
    <xf numFmtId="0" fontId="54" fillId="0" borderId="0" xfId="0" applyFont="1"/>
    <xf numFmtId="9" fontId="54" fillId="0" borderId="22" xfId="0" applyNumberFormat="1" applyFont="1" applyBorder="1" applyAlignment="1">
      <alignment horizontal="center" vertical="center"/>
    </xf>
    <xf numFmtId="37" fontId="51" fillId="0" borderId="32" xfId="0" applyNumberFormat="1" applyFont="1" applyBorder="1" applyAlignment="1">
      <alignment horizontal="center"/>
    </xf>
    <xf numFmtId="37" fontId="52" fillId="0" borderId="32" xfId="0" applyNumberFormat="1" applyFont="1" applyBorder="1" applyAlignment="1">
      <alignment horizontal="center"/>
    </xf>
    <xf numFmtId="189" fontId="50" fillId="0" borderId="0" xfId="11" applyNumberFormat="1" applyFont="1"/>
    <xf numFmtId="37" fontId="51" fillId="3" borderId="34" xfId="0" applyNumberFormat="1" applyFont="1" applyFill="1" applyBorder="1" applyAlignment="1">
      <alignment horizontal="center"/>
    </xf>
    <xf numFmtId="189" fontId="50" fillId="0" borderId="0" xfId="0" applyNumberFormat="1" applyFont="1"/>
    <xf numFmtId="0" fontId="53" fillId="0" borderId="0" xfId="0" applyFont="1"/>
    <xf numFmtId="0" fontId="52" fillId="0" borderId="33" xfId="0" applyFont="1" applyBorder="1"/>
    <xf numFmtId="178" fontId="50" fillId="0" borderId="0" xfId="11" applyNumberFormat="1" applyFont="1"/>
    <xf numFmtId="3" fontId="56" fillId="0" borderId="0" xfId="0" applyNumberFormat="1" applyFont="1" applyAlignment="1">
      <alignment horizontal="center"/>
    </xf>
    <xf numFmtId="3" fontId="50" fillId="0" borderId="0" xfId="0" applyNumberFormat="1" applyFont="1" applyAlignment="1">
      <alignment horizontal="center"/>
    </xf>
    <xf numFmtId="189" fontId="56" fillId="0" borderId="0" xfId="11" applyNumberFormat="1" applyFont="1" applyAlignment="1">
      <alignment horizontal="center"/>
    </xf>
    <xf numFmtId="10" fontId="9" fillId="16" borderId="17" xfId="0" applyNumberFormat="1" applyFont="1" applyFill="1" applyBorder="1" applyAlignment="1">
      <alignment horizontal="right"/>
    </xf>
    <xf numFmtId="190" fontId="9" fillId="17" borderId="25" xfId="0" applyNumberFormat="1" applyFont="1" applyFill="1" applyBorder="1" applyAlignment="1">
      <alignment horizontal="right" vertical="center"/>
    </xf>
    <xf numFmtId="10" fontId="9" fillId="18" borderId="4" xfId="0" applyNumberFormat="1" applyFont="1" applyFill="1" applyBorder="1" applyAlignment="1">
      <alignment horizontal="center" vertical="center"/>
    </xf>
    <xf numFmtId="0" fontId="9" fillId="19" borderId="2" xfId="0" applyFont="1" applyFill="1" applyBorder="1" applyAlignment="1">
      <alignment vertical="center"/>
    </xf>
    <xf numFmtId="0" fontId="0" fillId="22" borderId="0" xfId="0" applyFill="1"/>
    <xf numFmtId="0" fontId="0" fillId="23" borderId="0" xfId="0" applyFill="1"/>
    <xf numFmtId="0" fontId="0" fillId="22" borderId="0" xfId="0" applyFill="1" applyAlignment="1">
      <alignment vertical="center"/>
    </xf>
    <xf numFmtId="3" fontId="11" fillId="22" borderId="0" xfId="0" applyNumberFormat="1" applyFont="1" applyFill="1" applyAlignment="1">
      <alignment vertical="center"/>
    </xf>
    <xf numFmtId="166" fontId="4" fillId="24" borderId="21" xfId="11" applyNumberFormat="1" applyFont="1" applyFill="1" applyBorder="1" applyAlignment="1">
      <alignment horizontal="center"/>
    </xf>
    <xf numFmtId="0" fontId="21" fillId="24" borderId="18" xfId="0" applyFont="1" applyFill="1" applyBorder="1" applyAlignment="1">
      <alignment horizontal="left" vertical="center"/>
    </xf>
    <xf numFmtId="1" fontId="22" fillId="24" borderId="21" xfId="0" applyNumberFormat="1" applyFont="1" applyFill="1" applyBorder="1" applyAlignment="1">
      <alignment horizontal="right" vertical="center"/>
    </xf>
    <xf numFmtId="1" fontId="5" fillId="0" borderId="24" xfId="0" applyNumberFormat="1" applyFont="1" applyBorder="1" applyAlignment="1">
      <alignment horizontal="center"/>
    </xf>
    <xf numFmtId="37" fontId="7" fillId="24" borderId="17" xfId="0" applyNumberFormat="1" applyFont="1" applyFill="1" applyBorder="1" applyAlignment="1">
      <alignment horizontal="center"/>
    </xf>
    <xf numFmtId="37" fontId="5" fillId="24" borderId="17" xfId="0" applyNumberFormat="1" applyFont="1" applyFill="1" applyBorder="1" applyAlignment="1">
      <alignment horizontal="center"/>
    </xf>
    <xf numFmtId="37" fontId="5" fillId="24" borderId="24" xfId="0" applyNumberFormat="1" applyFont="1" applyFill="1" applyBorder="1" applyAlignment="1">
      <alignment horizontal="center"/>
    </xf>
    <xf numFmtId="0" fontId="63" fillId="0" borderId="53" xfId="0" applyFont="1" applyBorder="1"/>
    <xf numFmtId="37" fontId="7" fillId="24" borderId="51" xfId="0" applyNumberFormat="1" applyFont="1" applyFill="1" applyBorder="1" applyAlignment="1">
      <alignment horizontal="center"/>
    </xf>
    <xf numFmtId="37" fontId="7" fillId="24" borderId="52" xfId="0" applyNumberFormat="1" applyFont="1" applyFill="1" applyBorder="1" applyAlignment="1">
      <alignment horizontal="center"/>
    </xf>
    <xf numFmtId="3" fontId="10" fillId="5" borderId="0" xfId="0" applyNumberFormat="1" applyFont="1" applyFill="1" applyAlignment="1">
      <alignment horizontal="center" vertical="center"/>
    </xf>
    <xf numFmtId="0" fontId="5" fillId="0" borderId="0" xfId="0" applyFont="1"/>
    <xf numFmtId="0" fontId="6" fillId="0" borderId="0" xfId="0" applyFont="1"/>
    <xf numFmtId="0" fontId="11" fillId="6" borderId="22" xfId="0" applyFont="1" applyFill="1" applyBorder="1" applyAlignment="1">
      <alignment horizontal="center"/>
    </xf>
    <xf numFmtId="0" fontId="0" fillId="0" borderId="16" xfId="0" applyBorder="1"/>
    <xf numFmtId="0" fontId="0" fillId="0" borderId="15" xfId="0" applyBorder="1"/>
    <xf numFmtId="0" fontId="11" fillId="4" borderId="0" xfId="0" applyFont="1" applyFill="1" applyAlignment="1">
      <alignment horizontal="left" vertical="center"/>
    </xf>
    <xf numFmtId="0" fontId="11" fillId="0" borderId="22" xfId="0" applyFont="1" applyBorder="1" applyAlignment="1">
      <alignment horizontal="center" vertical="center"/>
    </xf>
    <xf numFmtId="0" fontId="0" fillId="0" borderId="24" xfId="0" applyBorder="1"/>
    <xf numFmtId="0" fontId="0" fillId="0" borderId="25" xfId="0" applyBorder="1"/>
    <xf numFmtId="164" fontId="11" fillId="4" borderId="15" xfId="0" applyNumberFormat="1" applyFont="1" applyFill="1" applyBorder="1" applyAlignment="1">
      <alignment horizontal="right" vertical="center"/>
    </xf>
    <xf numFmtId="0" fontId="0" fillId="0" borderId="21" xfId="0" applyBorder="1"/>
    <xf numFmtId="0" fontId="7" fillId="0" borderId="1" xfId="0" applyFont="1" applyBorder="1" applyAlignment="1">
      <alignment horizontal="center"/>
    </xf>
    <xf numFmtId="0" fontId="0" fillId="0" borderId="1" xfId="0" applyBorder="1"/>
    <xf numFmtId="3" fontId="11" fillId="0" borderId="22" xfId="0" applyNumberFormat="1" applyFont="1" applyBorder="1" applyAlignment="1">
      <alignment horizontal="center" vertical="center"/>
    </xf>
    <xf numFmtId="0" fontId="26" fillId="7" borderId="26" xfId="0" applyFont="1" applyFill="1" applyBorder="1" applyAlignment="1">
      <alignment horizontal="center" vertical="center"/>
    </xf>
    <xf numFmtId="0" fontId="0" fillId="0" borderId="59" xfId="0" applyBorder="1"/>
    <xf numFmtId="0" fontId="0" fillId="0" borderId="3" xfId="0" applyBorder="1"/>
    <xf numFmtId="0" fontId="29" fillId="4" borderId="0" xfId="0" applyFont="1" applyFill="1" applyAlignment="1">
      <alignment horizontal="center" vertical="center"/>
    </xf>
    <xf numFmtId="0" fontId="25" fillId="4" borderId="0" xfId="0" applyFont="1" applyFill="1" applyAlignment="1">
      <alignment horizontal="center" vertical="center"/>
    </xf>
    <xf numFmtId="10" fontId="29" fillId="4" borderId="28" xfId="0" applyNumberFormat="1" applyFont="1" applyFill="1" applyBorder="1" applyAlignment="1">
      <alignment horizontal="center" vertical="center"/>
    </xf>
    <xf numFmtId="0" fontId="0" fillId="0" borderId="34" xfId="0" applyBorder="1"/>
    <xf numFmtId="0" fontId="0" fillId="0" borderId="35" xfId="0" applyBorder="1"/>
    <xf numFmtId="0" fontId="29" fillId="4" borderId="28" xfId="0" applyFont="1" applyFill="1" applyBorder="1" applyAlignment="1">
      <alignment horizontal="center" vertical="center"/>
    </xf>
    <xf numFmtId="38" fontId="29" fillId="0" borderId="28" xfId="0" applyNumberFormat="1" applyFont="1" applyBorder="1" applyAlignment="1">
      <alignment horizontal="center" vertical="center"/>
    </xf>
    <xf numFmtId="0" fontId="28" fillId="6" borderId="36" xfId="0" applyFont="1" applyFill="1" applyBorder="1" applyAlignment="1">
      <alignment horizontal="center" vertical="center"/>
    </xf>
    <xf numFmtId="38" fontId="8" fillId="0" borderId="45" xfId="0" applyNumberFormat="1" applyFont="1" applyBorder="1" applyAlignment="1">
      <alignment horizontal="center" vertical="center"/>
    </xf>
    <xf numFmtId="0" fontId="0" fillId="0" borderId="45" xfId="0" applyBorder="1"/>
    <xf numFmtId="0" fontId="29" fillId="12" borderId="28" xfId="0" applyFont="1" applyFill="1" applyBorder="1" applyAlignment="1">
      <alignment horizontal="center" vertical="center" wrapText="1"/>
    </xf>
    <xf numFmtId="10" fontId="32" fillId="4" borderId="0" xfId="0" applyNumberFormat="1" applyFont="1" applyFill="1" applyAlignment="1">
      <alignment horizontal="left" vertical="center"/>
    </xf>
    <xf numFmtId="0" fontId="27" fillId="10" borderId="0" xfId="0" applyFont="1" applyFill="1" applyAlignment="1">
      <alignment horizontal="center" vertical="center"/>
    </xf>
    <xf numFmtId="0" fontId="25" fillId="0" borderId="0" xfId="0" applyFont="1" applyAlignment="1">
      <alignment horizontal="center" vertical="center"/>
    </xf>
    <xf numFmtId="0" fontId="5" fillId="0" borderId="0" xfId="0" applyFont="1" applyAlignment="1">
      <alignment horizontal="left"/>
    </xf>
    <xf numFmtId="0" fontId="25" fillId="4" borderId="0" xfId="0" applyFont="1" applyFill="1" applyAlignment="1">
      <alignment horizontal="left" vertical="center"/>
    </xf>
    <xf numFmtId="0" fontId="8" fillId="13" borderId="28" xfId="0" applyFont="1" applyFill="1" applyBorder="1" applyAlignment="1">
      <alignment horizontal="center" vertical="center"/>
    </xf>
    <xf numFmtId="0" fontId="0" fillId="0" borderId="65" xfId="0" applyBorder="1"/>
    <xf numFmtId="10" fontId="27" fillId="10" borderId="0" xfId="0" applyNumberFormat="1" applyFont="1" applyFill="1" applyAlignment="1">
      <alignment horizontal="center" vertical="center"/>
    </xf>
    <xf numFmtId="0" fontId="9" fillId="7" borderId="26" xfId="0" applyFont="1" applyFill="1" applyBorder="1" applyAlignment="1">
      <alignment horizontal="center"/>
    </xf>
    <xf numFmtId="0" fontId="11" fillId="4" borderId="28" xfId="0" applyFont="1" applyFill="1" applyBorder="1" applyAlignment="1">
      <alignment horizontal="left" vertical="center"/>
    </xf>
    <xf numFmtId="0" fontId="27" fillId="10" borderId="28" xfId="0" applyFont="1" applyFill="1" applyBorder="1" applyAlignment="1">
      <alignment horizontal="center" vertical="center"/>
    </xf>
    <xf numFmtId="0" fontId="9" fillId="14" borderId="28" xfId="0" applyFont="1" applyFill="1" applyBorder="1" applyAlignment="1">
      <alignment horizontal="center" vertical="center"/>
    </xf>
    <xf numFmtId="0" fontId="8" fillId="13" borderId="28" xfId="0" applyFont="1" applyFill="1" applyBorder="1" applyAlignment="1">
      <alignment horizontal="left" vertical="center"/>
    </xf>
    <xf numFmtId="0" fontId="0" fillId="0" borderId="68" xfId="0" applyBorder="1"/>
    <xf numFmtId="0" fontId="38" fillId="4" borderId="0" xfId="0" applyFont="1" applyFill="1" applyAlignment="1">
      <alignment horizontal="center"/>
    </xf>
    <xf numFmtId="0" fontId="0" fillId="4" borderId="0" xfId="0" applyFill="1"/>
    <xf numFmtId="0" fontId="45" fillId="4" borderId="26" xfId="0" applyFont="1" applyFill="1" applyBorder="1" applyAlignment="1">
      <alignment horizontal="center" vertical="center" wrapText="1"/>
    </xf>
    <xf numFmtId="0" fontId="0" fillId="0" borderId="27" xfId="0" applyBorder="1"/>
    <xf numFmtId="0" fontId="0" fillId="0" borderId="4" xfId="0" applyBorder="1"/>
    <xf numFmtId="0" fontId="0" fillId="0" borderId="53" xfId="0" applyBorder="1"/>
    <xf numFmtId="0" fontId="0" fillId="0" borderId="54" xfId="0" applyBorder="1"/>
    <xf numFmtId="0" fontId="0" fillId="0" borderId="69" xfId="0" applyBorder="1"/>
    <xf numFmtId="0" fontId="0" fillId="0" borderId="70" xfId="0" applyBorder="1"/>
  </cellXfs>
  <cellStyles count="18">
    <cellStyle name="%" xfId="1" xr:uid="{00000000-0005-0000-0000-000001000000}"/>
    <cellStyle name="Buena" xfId="14" xr:uid="{00000000-0005-0000-0000-00000E000000}"/>
    <cellStyle name="Comma 2" xfId="2" xr:uid="{00000000-0005-0000-0000-000002000000}"/>
    <cellStyle name="Currency 2" xfId="3" xr:uid="{00000000-0005-0000-0000-000003000000}"/>
    <cellStyle name="Millares 2" xfId="4" xr:uid="{00000000-0005-0000-0000-000004000000}"/>
    <cellStyle name="Moneda 2" xfId="5" xr:uid="{00000000-0005-0000-0000-000005000000}"/>
    <cellStyle name="Neutral 2" xfId="15" xr:uid="{00000000-0005-0000-0000-00000F000000}"/>
    <cellStyle name="Normal" xfId="0" builtinId="0"/>
    <cellStyle name="Normal 2" xfId="6" xr:uid="{00000000-0005-0000-0000-000006000000}"/>
    <cellStyle name="Normal 2 2" xfId="7" xr:uid="{00000000-0005-0000-0000-000007000000}"/>
    <cellStyle name="Normal 3" xfId="8" xr:uid="{00000000-0005-0000-0000-000008000000}"/>
    <cellStyle name="Normal 4" xfId="9" xr:uid="{00000000-0005-0000-0000-000009000000}"/>
    <cellStyle name="Normal 5" xfId="10" xr:uid="{00000000-0005-0000-0000-00000A000000}"/>
    <cellStyle name="Normal 6" xfId="13" xr:uid="{00000000-0005-0000-0000-00000D000000}"/>
    <cellStyle name="Porcentaje 2" xfId="11" xr:uid="{00000000-0005-0000-0000-00000B000000}"/>
    <cellStyle name="Porcentaje 2 2" xfId="12" xr:uid="{00000000-0005-0000-0000-00000C000000}"/>
    <cellStyle name="Título 1" xfId="16" xr:uid="{00000000-0005-0000-0000-000010000000}"/>
    <cellStyle name="Total 2" xfId="17" xr:uid="{00000000-0005-0000-0000-000011000000}"/>
  </cellStyles>
  <dxfs count="5">
    <dxf>
      <fill>
        <patternFill>
          <bgColor rgb="FF000000"/>
        </patternFill>
      </fill>
      <border>
        <left style="thin">
          <color theme="0" tint="-0.34998626667073579"/>
        </left>
        <right style="thin">
          <color theme="0" tint="-0.34998626667073579"/>
        </right>
        <top style="thin">
          <color theme="0" tint="-0.34998626667073579"/>
        </top>
        <bottom style="thin">
          <color theme="0" tint="-0.34998626667073579"/>
        </bottom>
      </border>
    </dxf>
    <dxf>
      <fill>
        <patternFill>
          <bgColor rgb="FF000000"/>
        </patternFill>
      </fill>
      <border>
        <left style="thin">
          <color theme="0" tint="-0.34998626667073579"/>
        </left>
        <right style="thin">
          <color theme="0" tint="-0.34998626667073579"/>
        </right>
        <top style="thin">
          <color theme="0" tint="-0.34998626667073579"/>
        </top>
        <bottom style="thin">
          <color theme="0" tint="-0.34998626667073579"/>
        </bottom>
      </border>
    </dxf>
    <dxf>
      <fill>
        <patternFill>
          <bgColor theme="0" tint="-4.9989318521683403E-2"/>
        </patternFill>
      </fill>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2060"/>
      <rgbColor rgb="FF808000"/>
      <rgbColor rgb="FF800080"/>
      <rgbColor rgb="FF1F4E79"/>
      <rgbColor rgb="FFC0C0C0"/>
      <rgbColor rgb="FF808080"/>
      <rgbColor rgb="FF9999FF"/>
      <rgbColor rgb="FF993366"/>
      <rgbColor rgb="FFF2F2F2"/>
      <rgbColor rgb="FFDAE3F3"/>
      <rgbColor rgb="FF660066"/>
      <rgbColor rgb="FFFF8080"/>
      <rgbColor rgb="FF0563C1"/>
      <rgbColor rgb="FFC5D9F1"/>
      <rgbColor rgb="FF000080"/>
      <rgbColor rgb="FFFF00FF"/>
      <rgbColor rgb="FFFFFF00"/>
      <rgbColor rgb="FF00FFFF"/>
      <rgbColor rgb="FF800080"/>
      <rgbColor rgb="FF800000"/>
      <rgbColor rgb="FF008080"/>
      <rgbColor rgb="FF0000FF"/>
      <rgbColor rgb="FF00CCFF"/>
      <rgbColor rgb="FFD6DCE5"/>
      <rgbColor rgb="FFD6DCDA"/>
      <rgbColor rgb="FFD9D9D9"/>
      <rgbColor rgb="FFBFBFBF"/>
      <rgbColor rgb="FFFF99CC"/>
      <rgbColor rgb="FFCC99FF"/>
      <rgbColor rgb="FFF8CBAD"/>
      <rgbColor rgb="FF1C81F0"/>
      <rgbColor rgb="FF33CCCC"/>
      <rgbColor rgb="FF99CC00"/>
      <rgbColor rgb="FF92D050"/>
      <rgbColor rgb="FFFF9900"/>
      <rgbColor rgb="FFFF6600"/>
      <rgbColor rgb="FF666699"/>
      <rgbColor rgb="FFA6A6A6"/>
      <rgbColor rgb="FF003366"/>
      <rgbColor rgb="FF339966"/>
      <rgbColor rgb="FF003300"/>
      <rgbColor rgb="FF1F3864"/>
      <rgbColor rgb="FF993300"/>
      <rgbColor rgb="FF993366"/>
      <rgbColor rgb="FF333399"/>
      <rgbColor rgb="FF3B3838"/>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0000"/>
    <pageSetUpPr fitToPage="1"/>
  </sheetPr>
  <dimension ref="A1:O136"/>
  <sheetViews>
    <sheetView showGridLines="0" tabSelected="1" topLeftCell="B1" zoomScale="75" zoomScaleNormal="75" workbookViewId="0">
      <selection activeCell="J29" sqref="J29"/>
    </sheetView>
  </sheetViews>
  <sheetFormatPr defaultColWidth="9.109375" defaultRowHeight="13.8" x14ac:dyDescent="0.25"/>
  <cols>
    <col min="1" max="1" width="1.33203125" style="7" customWidth="1"/>
    <col min="2" max="2" width="44.44140625" style="7" bestFit="1" customWidth="1"/>
    <col min="3" max="3" width="22.33203125" style="7" customWidth="1"/>
    <col min="4" max="4" width="1.5546875" style="7" customWidth="1"/>
    <col min="5" max="5" width="43.88671875" style="7" customWidth="1"/>
    <col min="6" max="6" width="21.33203125" style="7" customWidth="1"/>
    <col min="7" max="7" width="22.5546875" style="7" customWidth="1"/>
    <col min="8" max="8" width="1.33203125" style="7" customWidth="1"/>
    <col min="9" max="9" width="28.5546875" style="7" customWidth="1"/>
    <col min="10" max="10" width="6.88671875" style="7" customWidth="1"/>
    <col min="11" max="11" width="9.109375" style="7" customWidth="1"/>
    <col min="12" max="12" width="23" style="8" customWidth="1"/>
    <col min="13" max="13" width="0.88671875" style="7" customWidth="1"/>
    <col min="14" max="14" width="24" style="7" customWidth="1"/>
    <col min="15" max="15" width="6" style="7" customWidth="1"/>
    <col min="16" max="16" width="9.109375" style="7" customWidth="1"/>
    <col min="17" max="16384" width="9.109375" style="7"/>
  </cols>
  <sheetData>
    <row r="1" spans="1:15" ht="15" customHeight="1" x14ac:dyDescent="0.3">
      <c r="B1" s="508"/>
      <c r="C1" s="509"/>
    </row>
    <row r="2" spans="1:15" ht="15" customHeight="1" x14ac:dyDescent="0.25">
      <c r="B2" s="9" t="s">
        <v>0</v>
      </c>
      <c r="C2" s="10">
        <f>+FLUJO!$C$49</f>
        <v>2.2128474741156055</v>
      </c>
    </row>
    <row r="3" spans="1:15" ht="15" customHeight="1" x14ac:dyDescent="0.25">
      <c r="B3" s="481" t="s">
        <v>1</v>
      </c>
      <c r="C3" s="480">
        <f>IF(C12=2,MIRR(FLUJO!C45:V45,G26,G21),MIRR(FLUJO!C45:Q45,G26,G21))</f>
        <v>0.17243491362479069</v>
      </c>
    </row>
    <row r="4" spans="1:15" ht="15.75" customHeight="1" x14ac:dyDescent="0.25">
      <c r="B4" s="11" t="s">
        <v>2</v>
      </c>
      <c r="C4" s="12">
        <f>+FLUJO!$C$51</f>
        <v>44958838025.145088</v>
      </c>
      <c r="E4" s="13"/>
      <c r="F4" s="13"/>
    </row>
    <row r="5" spans="1:15" ht="15.75" customHeight="1" x14ac:dyDescent="0.25">
      <c r="B5" s="14" t="s">
        <v>3</v>
      </c>
      <c r="C5" s="15">
        <f>+FLUJO!C54</f>
        <v>0.14937691052651986</v>
      </c>
      <c r="E5" s="13"/>
      <c r="F5" s="13"/>
    </row>
    <row r="6" spans="1:15" ht="15.75" customHeight="1" x14ac:dyDescent="0.25">
      <c r="B6" s="16" t="s">
        <v>4</v>
      </c>
      <c r="C6" s="17">
        <f>+FLUJO!C60</f>
        <v>10</v>
      </c>
      <c r="E6" s="13"/>
      <c r="F6" s="13"/>
    </row>
    <row r="7" spans="1:15" ht="15.75" customHeight="1" x14ac:dyDescent="0.25">
      <c r="E7" s="13"/>
      <c r="F7" s="13"/>
    </row>
    <row r="9" spans="1:15" ht="22.5" customHeight="1" x14ac:dyDescent="0.25">
      <c r="B9" s="496" t="s">
        <v>5</v>
      </c>
      <c r="C9" s="497"/>
      <c r="E9" s="496" t="s">
        <v>6</v>
      </c>
      <c r="F9" s="497"/>
      <c r="G9" s="497"/>
      <c r="H9" s="497"/>
      <c r="I9" s="497"/>
      <c r="J9" s="497"/>
      <c r="K9" s="497"/>
      <c r="L9" s="498"/>
      <c r="N9" s="496" t="s">
        <v>7</v>
      </c>
      <c r="O9" s="497"/>
    </row>
    <row r="10" spans="1:15" ht="8.25" customHeight="1" x14ac:dyDescent="0.25">
      <c r="N10" s="18"/>
      <c r="O10" s="18"/>
    </row>
    <row r="11" spans="1:15" s="19" customFormat="1" ht="12.75" customHeight="1" x14ac:dyDescent="0.3">
      <c r="B11" s="20" t="s">
        <v>8</v>
      </c>
      <c r="C11" s="21"/>
      <c r="E11" s="22" t="s">
        <v>9</v>
      </c>
      <c r="F11" s="23" t="s">
        <v>10</v>
      </c>
      <c r="G11" s="24"/>
      <c r="H11" s="25"/>
      <c r="I11" s="22" t="s">
        <v>11</v>
      </c>
      <c r="J11" s="26"/>
      <c r="K11" s="27" t="s">
        <v>10</v>
      </c>
      <c r="L11" s="24"/>
      <c r="N11" s="22" t="s">
        <v>12</v>
      </c>
      <c r="O11" s="24">
        <f>+COUNTIF(O12:O21,"*Error*")</f>
        <v>0</v>
      </c>
    </row>
    <row r="12" spans="1:15" ht="12.75" customHeight="1" x14ac:dyDescent="0.3">
      <c r="B12" s="28" t="s">
        <v>13</v>
      </c>
      <c r="C12" s="29">
        <v>2</v>
      </c>
      <c r="E12" s="30" t="s">
        <v>14</v>
      </c>
      <c r="F12" s="31">
        <f t="shared" ref="F12:F17" si="0">+G12/$G$18</f>
        <v>0.16136537105048043</v>
      </c>
      <c r="G12" s="32">
        <f>+SUM(FLUJO!C36:V37)</f>
        <v>113012430000</v>
      </c>
      <c r="H12" s="33"/>
      <c r="I12" s="34" t="s">
        <v>15</v>
      </c>
      <c r="K12" s="35">
        <f>+L12/$L$14</f>
        <v>0.97418119281739568</v>
      </c>
      <c r="L12" s="36">
        <f>+SUM(FLUJO!C19:V20)</f>
        <v>880445420168.49255</v>
      </c>
      <c r="N12" s="37" t="s">
        <v>16</v>
      </c>
      <c r="O12" s="38" t="str">
        <f>+IF(AND(C12=1,C6&gt;=15)," Error "," OK ")</f>
        <v xml:space="preserve"> OK </v>
      </c>
    </row>
    <row r="13" spans="1:15" ht="12.75" customHeight="1" x14ac:dyDescent="0.3">
      <c r="A13" s="39">
        <v>15</v>
      </c>
      <c r="B13" s="34" t="s">
        <v>17</v>
      </c>
      <c r="C13" s="40">
        <v>1</v>
      </c>
      <c r="E13" s="41" t="s">
        <v>18</v>
      </c>
      <c r="F13" s="42">
        <f t="shared" si="0"/>
        <v>0.17181775578431782</v>
      </c>
      <c r="G13" s="43">
        <f>+SUM(FLUJO!C38:V38)</f>
        <v>120332770110.00002</v>
      </c>
      <c r="H13" s="33"/>
      <c r="I13" s="34" t="s">
        <v>19</v>
      </c>
      <c r="K13" s="35">
        <f>+L13/$L$14</f>
        <v>2.5818807182604337E-2</v>
      </c>
      <c r="L13" s="36">
        <f>+SUM(FLUJO!C21:V21)</f>
        <v>23334520011</v>
      </c>
      <c r="N13" s="44" t="s">
        <v>20</v>
      </c>
      <c r="O13" s="45" t="str">
        <f>+IF(G28&gt;20," Error ", " Ok ")</f>
        <v xml:space="preserve"> Ok </v>
      </c>
    </row>
    <row r="14" spans="1:15" ht="12.75" customHeight="1" x14ac:dyDescent="0.3">
      <c r="B14" s="34" t="s">
        <v>21</v>
      </c>
      <c r="C14" s="40">
        <v>2</v>
      </c>
      <c r="D14" s="46"/>
      <c r="E14" s="47" t="s">
        <v>22</v>
      </c>
      <c r="F14" s="35">
        <f t="shared" si="0"/>
        <v>0.28207967232936826</v>
      </c>
      <c r="G14" s="36">
        <f>+SUM(FLUJO!C25:V28)</f>
        <v>197554834820</v>
      </c>
      <c r="H14" s="33"/>
      <c r="I14" s="48" t="s">
        <v>23</v>
      </c>
      <c r="J14" s="49"/>
      <c r="K14" s="50">
        <f>+SUM(K12:K13)</f>
        <v>1</v>
      </c>
      <c r="L14" s="51">
        <f>+SUM(L12:L13)</f>
        <v>903779940179.49255</v>
      </c>
      <c r="N14" s="52" t="s">
        <v>24</v>
      </c>
      <c r="O14" s="53" t="str">
        <f>+IF(G21&lt;G26," Error ", " OK ")</f>
        <v xml:space="preserve"> OK </v>
      </c>
    </row>
    <row r="15" spans="1:15" ht="14.25" customHeight="1" x14ac:dyDescent="0.3">
      <c r="B15" s="34" t="s">
        <v>25</v>
      </c>
      <c r="C15" s="54">
        <v>46388</v>
      </c>
      <c r="E15" s="55" t="s">
        <v>26</v>
      </c>
      <c r="F15" s="56">
        <f t="shared" si="0"/>
        <v>4.7966446199074184E-2</v>
      </c>
      <c r="G15" s="57">
        <f>+SUM(FLUJO!C29:V29)</f>
        <v>33593357782.605232</v>
      </c>
      <c r="H15" s="33"/>
      <c r="I15" s="58"/>
      <c r="J15" s="58"/>
      <c r="K15" s="58"/>
      <c r="L15" s="59"/>
      <c r="N15" s="52" t="s">
        <v>27</v>
      </c>
      <c r="O15" s="486" t="str">
        <f>+IF(OR(ABS(AMORTIZACIONES!X48-AMORTIZACIONES!X7-AMORTIZACIONES!X20)&gt;1,ABS(AMORTIZACIONES!X98-AMORTIZACIONES!X57-AMORTIZACIONES!X70)&gt;1,ABS(AMORTIZACIONES!X148-AMORTIZACIONES!X107-AMORTIZACIONES!X120)&gt;1)," Error "," OK ")</f>
        <v xml:space="preserve"> OK </v>
      </c>
    </row>
    <row r="16" spans="1:15" ht="12.75" customHeight="1" x14ac:dyDescent="0.25">
      <c r="B16" s="48" t="s">
        <v>28</v>
      </c>
      <c r="C16" s="60" t="str">
        <f>+IF(C12=2,"diciembre 2046","diciembre 2041")</f>
        <v>diciembre 2046</v>
      </c>
      <c r="E16" s="34" t="s">
        <v>29</v>
      </c>
      <c r="F16" s="35">
        <f t="shared" si="0"/>
        <v>2.8557101382649754E-3</v>
      </c>
      <c r="G16" s="61">
        <f>+FLUJO!W41</f>
        <v>2000000000</v>
      </c>
      <c r="H16" s="33"/>
      <c r="I16" s="62" t="s">
        <v>30</v>
      </c>
      <c r="J16" s="63"/>
      <c r="K16" s="64"/>
      <c r="L16" s="65">
        <v>1</v>
      </c>
    </row>
    <row r="17" spans="1:13" ht="12.75" customHeight="1" x14ac:dyDescent="0.3">
      <c r="B17" s="66"/>
      <c r="C17" s="67"/>
      <c r="E17" s="47" t="s">
        <v>31</v>
      </c>
      <c r="F17" s="35">
        <f t="shared" si="0"/>
        <v>0.33391504449849446</v>
      </c>
      <c r="G17" s="36">
        <f>+SUM(FLUJO!C30:V30)</f>
        <v>233857799518.38458</v>
      </c>
      <c r="H17" s="33"/>
      <c r="I17" s="68" t="s">
        <v>32</v>
      </c>
      <c r="J17" s="69"/>
      <c r="L17" s="40">
        <v>1</v>
      </c>
    </row>
    <row r="18" spans="1:13" ht="12.75" customHeight="1" x14ac:dyDescent="0.25">
      <c r="B18" s="70" t="s">
        <v>33</v>
      </c>
      <c r="C18" s="71"/>
      <c r="E18" s="48" t="s">
        <v>34</v>
      </c>
      <c r="F18" s="72">
        <f>+SUM(F12:F17)</f>
        <v>1.0000000000000002</v>
      </c>
      <c r="G18" s="51">
        <f>+SUM(G12:G17)</f>
        <v>700351192230.98975</v>
      </c>
      <c r="H18" s="73"/>
      <c r="I18" s="68" t="s">
        <v>35</v>
      </c>
      <c r="J18" s="69"/>
      <c r="L18" s="40">
        <v>2</v>
      </c>
    </row>
    <row r="19" spans="1:13" ht="12.75" customHeight="1" x14ac:dyDescent="0.25">
      <c r="B19" s="503" t="s">
        <v>36</v>
      </c>
      <c r="C19" s="74"/>
      <c r="H19" s="75"/>
      <c r="I19" s="76" t="s">
        <v>37</v>
      </c>
      <c r="J19" s="77"/>
      <c r="K19" s="78"/>
      <c r="L19" s="79">
        <v>3</v>
      </c>
    </row>
    <row r="20" spans="1:13" ht="14.25" customHeight="1" x14ac:dyDescent="0.25">
      <c r="B20" s="504"/>
      <c r="C20" s="80">
        <v>7200000</v>
      </c>
      <c r="E20" s="81" t="s">
        <v>38</v>
      </c>
      <c r="F20" s="82"/>
      <c r="G20" s="83"/>
      <c r="H20" s="84"/>
    </row>
    <row r="21" spans="1:13" ht="12.75" customHeight="1" x14ac:dyDescent="0.25">
      <c r="B21" s="505"/>
      <c r="C21" s="479">
        <v>0</v>
      </c>
      <c r="D21" s="85" t="s">
        <v>39</v>
      </c>
      <c r="E21" s="86" t="s">
        <v>38</v>
      </c>
      <c r="F21" s="49"/>
      <c r="G21" s="87">
        <v>0.1</v>
      </c>
      <c r="H21" s="88"/>
      <c r="I21" s="502"/>
      <c r="J21" s="497"/>
      <c r="K21" s="497"/>
      <c r="L21" s="498"/>
      <c r="M21" s="66"/>
    </row>
    <row r="22" spans="1:13" ht="12.75" customHeight="1" x14ac:dyDescent="0.25">
      <c r="A22" s="89"/>
      <c r="E22" s="90"/>
      <c r="F22" s="66"/>
      <c r="G22" s="91"/>
      <c r="H22" s="84"/>
      <c r="I22" s="92"/>
      <c r="J22" s="93"/>
      <c r="K22" s="91"/>
      <c r="L22" s="91"/>
    </row>
    <row r="23" spans="1:13" ht="13.5" customHeight="1" x14ac:dyDescent="0.25">
      <c r="A23" s="89"/>
      <c r="B23" s="70" t="s">
        <v>40</v>
      </c>
      <c r="C23" s="94"/>
      <c r="E23" s="62" t="s">
        <v>26</v>
      </c>
      <c r="F23" s="95"/>
      <c r="G23" s="96"/>
      <c r="H23" s="84"/>
      <c r="I23" s="97"/>
      <c r="J23" s="93"/>
      <c r="K23" s="98"/>
      <c r="L23" s="91"/>
    </row>
    <row r="24" spans="1:13" ht="12.75" customHeight="1" x14ac:dyDescent="0.25">
      <c r="A24" s="99"/>
      <c r="B24" s="510" t="s">
        <v>41</v>
      </c>
      <c r="C24" s="506">
        <v>4680</v>
      </c>
      <c r="E24" s="100" t="s">
        <v>42</v>
      </c>
      <c r="F24" s="101"/>
      <c r="G24" s="102">
        <f>+G25*FLUJO!W97</f>
        <v>23334520011</v>
      </c>
      <c r="H24" s="84"/>
      <c r="I24" s="97"/>
      <c r="J24" s="93"/>
      <c r="K24" s="91"/>
      <c r="L24" s="91"/>
    </row>
    <row r="25" spans="1:13" ht="12.75" customHeight="1" x14ac:dyDescent="0.25">
      <c r="A25" s="75"/>
      <c r="B25" s="505"/>
      <c r="C25" s="507"/>
      <c r="E25" s="34" t="s">
        <v>43</v>
      </c>
      <c r="G25" s="478">
        <v>0.1</v>
      </c>
      <c r="H25" s="88"/>
      <c r="I25" s="103"/>
      <c r="J25" s="93"/>
      <c r="K25" s="98"/>
      <c r="L25" s="91"/>
    </row>
    <row r="26" spans="1:13" ht="14.25" customHeight="1" x14ac:dyDescent="0.25">
      <c r="A26" s="75"/>
      <c r="B26" s="69"/>
      <c r="C26" s="104"/>
      <c r="E26" s="34" t="s">
        <v>44</v>
      </c>
      <c r="F26" s="105"/>
      <c r="G26" s="106">
        <v>8.5000000000000006E-2</v>
      </c>
      <c r="H26" s="88"/>
      <c r="I26" s="66"/>
      <c r="J26" s="66"/>
      <c r="K26" s="66"/>
      <c r="L26" s="107"/>
    </row>
    <row r="27" spans="1:13" ht="15" customHeight="1" x14ac:dyDescent="0.3">
      <c r="A27" s="75"/>
      <c r="B27" s="62" t="s">
        <v>45</v>
      </c>
      <c r="C27" s="108"/>
      <c r="E27" s="34" t="s">
        <v>46</v>
      </c>
      <c r="G27" s="109">
        <f>+'PRESTAMO '!D13</f>
        <v>5560002097.0825396</v>
      </c>
      <c r="H27" s="88"/>
      <c r="J27" s="110"/>
    </row>
    <row r="28" spans="1:13" ht="12.75" customHeight="1" x14ac:dyDescent="0.25">
      <c r="A28" s="75"/>
      <c r="B28" s="111" t="s">
        <v>47</v>
      </c>
      <c r="C28" s="112"/>
      <c r="E28" s="113" t="s">
        <v>20</v>
      </c>
      <c r="F28" s="114"/>
      <c r="G28" s="79">
        <v>6</v>
      </c>
      <c r="H28" s="88"/>
      <c r="I28" s="115"/>
      <c r="J28" s="116"/>
      <c r="K28" s="98"/>
      <c r="L28" s="91"/>
    </row>
    <row r="29" spans="1:13" ht="12.75" customHeight="1" x14ac:dyDescent="0.25">
      <c r="A29" s="75"/>
      <c r="B29" s="34" t="s">
        <v>48</v>
      </c>
      <c r="C29" s="117">
        <v>0</v>
      </c>
      <c r="E29" s="48" t="s">
        <v>49</v>
      </c>
      <c r="F29" s="118"/>
      <c r="G29" s="65">
        <v>1</v>
      </c>
      <c r="H29" s="119"/>
      <c r="I29" s="115"/>
      <c r="J29" s="116"/>
      <c r="K29" s="98"/>
      <c r="L29" s="91"/>
    </row>
    <row r="30" spans="1:13" ht="12.75" customHeight="1" x14ac:dyDescent="0.25">
      <c r="A30" s="75"/>
      <c r="B30" s="113" t="s">
        <v>50</v>
      </c>
      <c r="C30" s="120">
        <v>0</v>
      </c>
      <c r="E30" s="34" t="s">
        <v>51</v>
      </c>
      <c r="G30" s="40">
        <v>1</v>
      </c>
      <c r="H30" s="121"/>
      <c r="I30" s="115"/>
      <c r="J30" s="116"/>
      <c r="K30" s="98"/>
      <c r="L30" s="91"/>
    </row>
    <row r="31" spans="1:13" ht="14.25" customHeight="1" x14ac:dyDescent="0.25">
      <c r="B31" s="122" t="s">
        <v>52</v>
      </c>
      <c r="C31" s="123"/>
      <c r="E31" s="113" t="s">
        <v>53</v>
      </c>
      <c r="F31" s="78"/>
      <c r="G31" s="79">
        <v>2</v>
      </c>
      <c r="H31" s="121"/>
      <c r="I31" s="124"/>
      <c r="J31" s="116"/>
      <c r="K31" s="66"/>
    </row>
    <row r="32" spans="1:13" ht="14.25" customHeight="1" x14ac:dyDescent="0.25">
      <c r="B32" s="34" t="s">
        <v>54</v>
      </c>
      <c r="C32" s="117">
        <v>0</v>
      </c>
      <c r="E32" s="48" t="s">
        <v>55</v>
      </c>
      <c r="F32" s="49"/>
      <c r="G32" s="125" t="s">
        <v>56</v>
      </c>
      <c r="H32" s="66"/>
      <c r="I32" s="126"/>
      <c r="J32" s="116"/>
      <c r="K32" s="66"/>
    </row>
    <row r="33" spans="2:14" ht="14.25" customHeight="1" x14ac:dyDescent="0.25">
      <c r="B33" s="34" t="s">
        <v>57</v>
      </c>
      <c r="C33" s="117">
        <v>0</v>
      </c>
      <c r="H33" s="66"/>
      <c r="I33" s="124"/>
      <c r="J33" s="116"/>
    </row>
    <row r="34" spans="2:14" ht="14.25" customHeight="1" x14ac:dyDescent="0.25">
      <c r="B34" s="34" t="s">
        <v>58</v>
      </c>
      <c r="C34" s="117">
        <v>0</v>
      </c>
      <c r="I34" s="127"/>
      <c r="J34" s="116"/>
      <c r="K34" s="128"/>
      <c r="L34" s="107"/>
      <c r="M34" s="66"/>
    </row>
    <row r="35" spans="2:14" ht="14.25" customHeight="1" x14ac:dyDescent="0.25">
      <c r="B35" s="113" t="s">
        <v>59</v>
      </c>
      <c r="C35" s="117">
        <v>0</v>
      </c>
      <c r="H35" s="129"/>
      <c r="I35" s="127"/>
      <c r="J35" s="116"/>
      <c r="K35" s="105"/>
      <c r="L35" s="107"/>
      <c r="M35" s="66"/>
      <c r="N35" s="66"/>
    </row>
    <row r="36" spans="2:14" ht="12.75" customHeight="1" x14ac:dyDescent="0.3">
      <c r="B36" s="113" t="s">
        <v>60</v>
      </c>
      <c r="C36" s="120">
        <v>0.03</v>
      </c>
      <c r="E36" s="499" t="s">
        <v>61</v>
      </c>
      <c r="F36" s="500"/>
      <c r="G36" s="501"/>
      <c r="H36" s="130"/>
      <c r="I36" s="131"/>
      <c r="J36" s="132"/>
      <c r="K36" s="133"/>
      <c r="L36" s="134"/>
      <c r="M36" s="66"/>
      <c r="N36" s="66"/>
    </row>
    <row r="37" spans="2:14" ht="12.75" customHeight="1" x14ac:dyDescent="0.25">
      <c r="B37" s="135" t="s">
        <v>62</v>
      </c>
      <c r="C37" s="136">
        <v>1</v>
      </c>
      <c r="H37" s="130"/>
      <c r="I37" s="131"/>
      <c r="J37" s="66"/>
      <c r="K37" s="66"/>
      <c r="L37" s="137"/>
      <c r="M37" s="66"/>
      <c r="N37" s="66"/>
    </row>
    <row r="38" spans="2:14" ht="12.75" customHeight="1" x14ac:dyDescent="0.25">
      <c r="B38" s="138" t="s">
        <v>63</v>
      </c>
      <c r="C38" s="117">
        <v>1</v>
      </c>
      <c r="E38" s="139" t="s">
        <v>64</v>
      </c>
      <c r="F38" s="27" t="s">
        <v>65</v>
      </c>
      <c r="G38" s="140" t="s">
        <v>66</v>
      </c>
      <c r="H38" s="84"/>
      <c r="I38" s="141"/>
      <c r="J38" s="142"/>
      <c r="K38" s="66"/>
      <c r="L38" s="143"/>
      <c r="M38" s="66"/>
      <c r="N38" s="66"/>
    </row>
    <row r="39" spans="2:14" ht="12.75" customHeight="1" x14ac:dyDescent="0.25">
      <c r="B39" s="138" t="s">
        <v>67</v>
      </c>
      <c r="C39" s="117">
        <v>1</v>
      </c>
      <c r="E39" s="144" t="s">
        <v>68</v>
      </c>
      <c r="F39" s="145"/>
      <c r="G39" s="136">
        <v>0.01</v>
      </c>
      <c r="H39" s="84"/>
      <c r="I39" s="141"/>
      <c r="J39" s="142"/>
      <c r="K39" s="66"/>
      <c r="L39" s="143"/>
      <c r="M39" s="66"/>
      <c r="N39" s="66"/>
    </row>
    <row r="40" spans="2:14" ht="14.25" customHeight="1" x14ac:dyDescent="0.25">
      <c r="B40" s="146" t="s">
        <v>69</v>
      </c>
      <c r="C40" s="120">
        <v>1</v>
      </c>
      <c r="E40" s="68" t="s">
        <v>70</v>
      </c>
      <c r="F40" s="115"/>
      <c r="G40" s="147">
        <v>0.01</v>
      </c>
      <c r="I40" s="66"/>
      <c r="J40" s="66"/>
      <c r="K40" s="66"/>
      <c r="L40" s="107"/>
      <c r="M40" s="66"/>
      <c r="N40" s="66"/>
    </row>
    <row r="41" spans="2:14" ht="14.25" customHeight="1" x14ac:dyDescent="0.25">
      <c r="E41" s="148" t="s">
        <v>71</v>
      </c>
      <c r="F41" s="149"/>
      <c r="G41" s="150"/>
      <c r="I41" s="151"/>
      <c r="J41" s="66"/>
      <c r="K41" s="66"/>
      <c r="L41" s="107"/>
      <c r="M41" s="66"/>
      <c r="N41" s="66"/>
    </row>
    <row r="42" spans="2:14" ht="14.25" customHeight="1" x14ac:dyDescent="0.25">
      <c r="B42" s="152" t="s">
        <v>31</v>
      </c>
      <c r="C42" s="153"/>
      <c r="I42" s="66"/>
      <c r="J42" s="66"/>
      <c r="K42" s="66"/>
      <c r="L42" s="107"/>
      <c r="M42" s="66"/>
      <c r="N42" s="66"/>
    </row>
    <row r="43" spans="2:14" ht="14.25" customHeight="1" x14ac:dyDescent="0.25">
      <c r="B43" s="154" t="s">
        <v>72</v>
      </c>
      <c r="C43" s="155">
        <v>2.5000000000000001E-2</v>
      </c>
      <c r="E43" s="22"/>
      <c r="F43" s="27" t="s">
        <v>73</v>
      </c>
      <c r="G43" s="140" t="s">
        <v>74</v>
      </c>
      <c r="I43" s="66"/>
      <c r="J43" s="66"/>
      <c r="K43" s="66"/>
      <c r="L43" s="107"/>
      <c r="M43" s="66"/>
      <c r="N43" s="66"/>
    </row>
    <row r="44" spans="2:14" ht="14.25" customHeight="1" x14ac:dyDescent="0.25">
      <c r="B44" s="156" t="s">
        <v>75</v>
      </c>
      <c r="C44" s="157">
        <v>0.35</v>
      </c>
      <c r="E44" s="100" t="s">
        <v>76</v>
      </c>
      <c r="F44" s="158">
        <f>+F39*G39+F40*G40</f>
        <v>0</v>
      </c>
      <c r="G44" s="159">
        <f>+F44*5</f>
        <v>0</v>
      </c>
      <c r="I44" s="66"/>
      <c r="J44" s="66"/>
      <c r="K44" s="66"/>
      <c r="L44" s="107"/>
      <c r="M44" s="66"/>
      <c r="N44" s="66"/>
    </row>
    <row r="45" spans="2:14" ht="12.75" customHeight="1" x14ac:dyDescent="0.25">
      <c r="B45" s="160" t="s">
        <v>77</v>
      </c>
      <c r="C45" s="161">
        <v>1.2E-2</v>
      </c>
      <c r="E45" s="148" t="s">
        <v>78</v>
      </c>
      <c r="F45" s="162">
        <f>+F39*G39+F41*G40</f>
        <v>0</v>
      </c>
      <c r="G45" s="163">
        <f>+F45*15</f>
        <v>0</v>
      </c>
      <c r="I45" s="66"/>
      <c r="J45" s="164"/>
      <c r="K45" s="66"/>
      <c r="L45" s="165"/>
      <c r="M45" s="66"/>
      <c r="N45" s="66"/>
    </row>
    <row r="46" spans="2:14" ht="12.75" customHeight="1" x14ac:dyDescent="0.25">
      <c r="B46" s="156" t="s">
        <v>79</v>
      </c>
      <c r="C46" s="157">
        <v>0.21</v>
      </c>
      <c r="I46" s="66"/>
      <c r="J46" s="166"/>
      <c r="K46" s="133"/>
      <c r="L46" s="167"/>
      <c r="M46" s="66"/>
      <c r="N46" s="66"/>
    </row>
    <row r="47" spans="2:14" ht="12.75" customHeight="1" x14ac:dyDescent="0.25">
      <c r="B47" s="156" t="s">
        <v>80</v>
      </c>
      <c r="C47" s="157">
        <v>0.11</v>
      </c>
      <c r="E47" s="168" t="s">
        <v>81</v>
      </c>
      <c r="F47" s="169"/>
      <c r="G47" s="169"/>
      <c r="I47" s="66"/>
      <c r="J47" s="170"/>
      <c r="K47" s="141"/>
      <c r="L47" s="171"/>
      <c r="M47" s="66"/>
      <c r="N47" s="66"/>
    </row>
    <row r="48" spans="2:14" ht="12.75" customHeight="1" x14ac:dyDescent="0.25">
      <c r="B48" s="156" t="s">
        <v>82</v>
      </c>
      <c r="C48" s="157">
        <v>0.15</v>
      </c>
      <c r="I48" s="66"/>
      <c r="J48" s="170"/>
      <c r="K48" s="141"/>
      <c r="L48" s="172"/>
      <c r="M48" s="66"/>
      <c r="N48" s="66"/>
    </row>
    <row r="49" spans="2:14" ht="12.75" customHeight="1" x14ac:dyDescent="0.25">
      <c r="B49" s="156" t="s">
        <v>83</v>
      </c>
      <c r="C49" s="157">
        <v>0.08</v>
      </c>
      <c r="E49" s="168" t="s">
        <v>64</v>
      </c>
      <c r="F49" s="169" t="s">
        <v>65</v>
      </c>
      <c r="G49" s="173" t="s">
        <v>66</v>
      </c>
      <c r="I49" s="66"/>
      <c r="J49" s="170"/>
      <c r="K49" s="141"/>
      <c r="L49" s="174"/>
      <c r="M49" s="66"/>
      <c r="N49" s="66"/>
    </row>
    <row r="50" spans="2:14" ht="12.75" customHeight="1" x14ac:dyDescent="0.25">
      <c r="B50" s="156" t="s">
        <v>84</v>
      </c>
      <c r="C50" s="157">
        <v>5.7000000000000002E-2</v>
      </c>
      <c r="E50" s="144" t="s">
        <v>14</v>
      </c>
      <c r="F50" s="145">
        <f>ROUND(SUM(G12:G13)*0.03,-8)</f>
        <v>7000000000</v>
      </c>
      <c r="G50" s="136">
        <v>0.01</v>
      </c>
      <c r="I50" s="66"/>
      <c r="J50" s="66"/>
      <c r="K50" s="66"/>
      <c r="L50" s="66"/>
      <c r="M50" s="66"/>
      <c r="N50" s="66"/>
    </row>
    <row r="51" spans="2:14" ht="12.75" customHeight="1" x14ac:dyDescent="0.25">
      <c r="B51" s="156" t="s">
        <v>85</v>
      </c>
      <c r="C51" s="157">
        <v>0.18</v>
      </c>
      <c r="E51" s="68" t="s">
        <v>86</v>
      </c>
      <c r="F51" s="115">
        <f>ROUND(G14*0.015,-8)</f>
        <v>3000000000</v>
      </c>
      <c r="G51" s="147">
        <v>0.01</v>
      </c>
      <c r="I51" s="66"/>
      <c r="J51" s="175"/>
      <c r="K51" s="176"/>
      <c r="L51" s="128"/>
      <c r="M51" s="66"/>
      <c r="N51" s="66"/>
    </row>
    <row r="52" spans="2:14" ht="15" customHeight="1" x14ac:dyDescent="0.25">
      <c r="B52" s="156" t="s">
        <v>87</v>
      </c>
      <c r="C52" s="157">
        <v>0.21</v>
      </c>
      <c r="E52" s="148" t="s">
        <v>88</v>
      </c>
      <c r="F52" s="149">
        <f>F51</f>
        <v>3000000000</v>
      </c>
      <c r="G52" s="150"/>
      <c r="I52" s="66"/>
      <c r="J52" s="177"/>
      <c r="K52" s="66"/>
      <c r="L52" s="91"/>
      <c r="M52" s="66"/>
      <c r="N52" s="66"/>
    </row>
    <row r="53" spans="2:14" ht="12.75" customHeight="1" x14ac:dyDescent="0.25">
      <c r="B53" s="160" t="s">
        <v>89</v>
      </c>
      <c r="C53" s="161">
        <v>1.2E-2</v>
      </c>
      <c r="I53" s="66"/>
      <c r="J53" s="66"/>
      <c r="K53" s="66"/>
      <c r="L53" s="66"/>
      <c r="M53" s="66"/>
      <c r="N53" s="66"/>
    </row>
    <row r="54" spans="2:14" ht="12.75" customHeight="1" x14ac:dyDescent="0.25">
      <c r="B54" s="160" t="s">
        <v>90</v>
      </c>
      <c r="C54" s="161">
        <v>5.0000000000000001E-3</v>
      </c>
      <c r="D54" s="178"/>
      <c r="E54" s="179"/>
      <c r="F54" s="169" t="s">
        <v>73</v>
      </c>
      <c r="G54" s="173" t="s">
        <v>74</v>
      </c>
      <c r="I54" s="66"/>
      <c r="J54" s="66"/>
      <c r="K54" s="66"/>
      <c r="L54" s="66"/>
      <c r="M54" s="66"/>
      <c r="N54" s="66"/>
    </row>
    <row r="55" spans="2:14" ht="12.75" customHeight="1" x14ac:dyDescent="0.25">
      <c r="B55" s="487" t="s">
        <v>91</v>
      </c>
      <c r="C55" s="180">
        <v>1</v>
      </c>
      <c r="D55" s="178"/>
      <c r="E55" s="100" t="s">
        <v>76</v>
      </c>
      <c r="F55" s="158">
        <f>+F50*G50+F51*G51</f>
        <v>100000000</v>
      </c>
      <c r="G55" s="159">
        <f>+F55*5</f>
        <v>500000000</v>
      </c>
      <c r="I55" s="66"/>
      <c r="J55" s="66"/>
      <c r="K55" s="66"/>
      <c r="L55" s="66"/>
      <c r="M55" s="66"/>
      <c r="N55" s="66"/>
    </row>
    <row r="56" spans="2:14" ht="12.75" customHeight="1" x14ac:dyDescent="0.25">
      <c r="B56" s="181" t="s">
        <v>92</v>
      </c>
      <c r="C56" s="182">
        <v>0.3</v>
      </c>
      <c r="E56" s="148" t="s">
        <v>93</v>
      </c>
      <c r="F56" s="162">
        <f>+F50*G50+F52*G51</f>
        <v>100000000</v>
      </c>
      <c r="G56" s="163">
        <f>+F56*15</f>
        <v>1500000000</v>
      </c>
      <c r="H56" s="84"/>
      <c r="I56" s="66"/>
      <c r="J56" s="66"/>
      <c r="K56" s="66"/>
      <c r="L56" s="66"/>
      <c r="M56" s="66"/>
      <c r="N56" s="66"/>
    </row>
    <row r="57" spans="2:14" ht="14.25" customHeight="1" x14ac:dyDescent="0.25">
      <c r="B57" s="181" t="s">
        <v>94</v>
      </c>
      <c r="C57" s="488">
        <v>5</v>
      </c>
      <c r="H57" s="84"/>
      <c r="I57" s="66"/>
      <c r="J57" s="66"/>
      <c r="K57" s="66"/>
      <c r="L57" s="107"/>
      <c r="M57" s="66"/>
      <c r="N57" s="66"/>
    </row>
    <row r="58" spans="2:14" ht="14.25" customHeight="1" x14ac:dyDescent="0.25">
      <c r="B58" s="181" t="s">
        <v>95</v>
      </c>
      <c r="C58" s="488">
        <v>5</v>
      </c>
      <c r="H58" s="84"/>
      <c r="I58" s="66"/>
      <c r="J58" s="66"/>
      <c r="K58" s="66"/>
      <c r="L58" s="107"/>
      <c r="M58" s="66"/>
      <c r="N58" s="66"/>
    </row>
    <row r="59" spans="2:14" ht="14.25" customHeight="1" x14ac:dyDescent="0.25">
      <c r="H59" s="84"/>
      <c r="I59" s="66"/>
      <c r="J59" s="66"/>
      <c r="K59" s="66"/>
      <c r="L59" s="107"/>
      <c r="M59" s="66"/>
      <c r="N59" s="66"/>
    </row>
    <row r="60" spans="2:14" ht="14.25" customHeight="1" x14ac:dyDescent="0.25">
      <c r="E60" s="183"/>
      <c r="G60" s="183"/>
      <c r="I60" s="66"/>
      <c r="J60" s="66"/>
      <c r="K60" s="66"/>
      <c r="L60" s="107"/>
      <c r="M60" s="66"/>
      <c r="N60" s="66"/>
    </row>
    <row r="61" spans="2:14" ht="14.25" customHeight="1" x14ac:dyDescent="0.25">
      <c r="I61" s="66"/>
      <c r="J61" s="66"/>
      <c r="K61" s="66"/>
      <c r="L61" s="107"/>
      <c r="M61" s="66"/>
      <c r="N61" s="66"/>
    </row>
    <row r="62" spans="2:14" ht="14.25" customHeight="1" x14ac:dyDescent="0.25">
      <c r="D62" s="183"/>
      <c r="I62" s="184"/>
      <c r="J62" s="66"/>
      <c r="K62" s="66"/>
      <c r="L62" s="107"/>
      <c r="M62" s="66"/>
      <c r="N62" s="66"/>
    </row>
    <row r="63" spans="2:14" ht="14.25" customHeight="1" x14ac:dyDescent="0.25">
      <c r="I63" s="66"/>
      <c r="J63" s="66"/>
      <c r="K63" s="66"/>
      <c r="L63" s="107"/>
      <c r="M63" s="66"/>
      <c r="N63" s="66"/>
    </row>
    <row r="64" spans="2:14" ht="12.75" customHeight="1" x14ac:dyDescent="0.25">
      <c r="I64" s="66"/>
      <c r="J64" s="66"/>
      <c r="K64" s="66"/>
      <c r="L64" s="66"/>
      <c r="M64" s="66"/>
      <c r="N64" s="66"/>
    </row>
    <row r="65" spans="9:14" ht="12.75" customHeight="1" x14ac:dyDescent="0.25">
      <c r="I65" s="66"/>
      <c r="J65" s="66"/>
      <c r="K65" s="66"/>
      <c r="L65" s="66"/>
      <c r="M65" s="66"/>
      <c r="N65" s="66"/>
    </row>
    <row r="66" spans="9:14" ht="12.75" customHeight="1" x14ac:dyDescent="0.25">
      <c r="L66" s="7"/>
    </row>
    <row r="67" spans="9:14" ht="12.75" customHeight="1" x14ac:dyDescent="0.25">
      <c r="L67" s="7"/>
    </row>
    <row r="68" spans="9:14" ht="12.75" customHeight="1" x14ac:dyDescent="0.25">
      <c r="I68" s="185"/>
      <c r="J68" s="185"/>
      <c r="K68" s="185"/>
      <c r="L68" s="7"/>
    </row>
    <row r="69" spans="9:14" ht="12.75" customHeight="1" x14ac:dyDescent="0.25">
      <c r="I69" s="185"/>
      <c r="J69" s="185"/>
      <c r="K69" s="185"/>
      <c r="L69" s="185"/>
    </row>
    <row r="70" spans="9:14" ht="12.75" customHeight="1" x14ac:dyDescent="0.25">
      <c r="L70" s="185"/>
    </row>
    <row r="71" spans="9:14" ht="12.75" customHeight="1" x14ac:dyDescent="0.25">
      <c r="L71" s="7"/>
    </row>
    <row r="72" spans="9:14" ht="12.75" customHeight="1" x14ac:dyDescent="0.25">
      <c r="L72" s="7"/>
    </row>
    <row r="73" spans="9:14" ht="12.75" customHeight="1" x14ac:dyDescent="0.25">
      <c r="L73" s="7"/>
    </row>
    <row r="74" spans="9:14" ht="12.75" customHeight="1" x14ac:dyDescent="0.25">
      <c r="L74" s="7"/>
    </row>
    <row r="75" spans="9:14" ht="12.75" customHeight="1" x14ac:dyDescent="0.25">
      <c r="L75" s="7"/>
    </row>
    <row r="76" spans="9:14" ht="12.75" customHeight="1" x14ac:dyDescent="0.25">
      <c r="L76" s="7"/>
    </row>
    <row r="77" spans="9:14" ht="12.75" customHeight="1" x14ac:dyDescent="0.25">
      <c r="L77" s="7"/>
    </row>
    <row r="78" spans="9:14" ht="12.75" customHeight="1" x14ac:dyDescent="0.25">
      <c r="L78" s="7"/>
    </row>
    <row r="79" spans="9:14" ht="12.75" customHeight="1" x14ac:dyDescent="0.25">
      <c r="L79" s="7"/>
    </row>
    <row r="80" spans="9:14" ht="12.75" customHeight="1" x14ac:dyDescent="0.25">
      <c r="L80" s="7"/>
    </row>
    <row r="81" s="7" customFormat="1" ht="12.75" customHeight="1" x14ac:dyDescent="0.25"/>
    <row r="82" s="7" customFormat="1" ht="12.75" customHeight="1" x14ac:dyDescent="0.25"/>
    <row r="83" s="7" customFormat="1" ht="12.75" customHeight="1" x14ac:dyDescent="0.25"/>
    <row r="84" s="7" customFormat="1" ht="12.75" customHeight="1" x14ac:dyDescent="0.25"/>
    <row r="85" s="7" customFormat="1" ht="12.75" customHeight="1" x14ac:dyDescent="0.25"/>
    <row r="86" s="7" customFormat="1" ht="12.75" customHeight="1" x14ac:dyDescent="0.25"/>
    <row r="87" s="7" customFormat="1" ht="12.75" customHeight="1" x14ac:dyDescent="0.25"/>
    <row r="88" s="7" customFormat="1" ht="12.75" customHeight="1" x14ac:dyDescent="0.25"/>
    <row r="89" s="7" customFormat="1" ht="12.75" customHeight="1" x14ac:dyDescent="0.25"/>
    <row r="90" s="7" customFormat="1" ht="12.75" customHeight="1" x14ac:dyDescent="0.25"/>
    <row r="91" s="7" customFormat="1" ht="12.75" customHeight="1" x14ac:dyDescent="0.25"/>
    <row r="92" s="7" customFormat="1" ht="12.75" customHeight="1" x14ac:dyDescent="0.25"/>
    <row r="100" spans="2:9" ht="14.25" customHeight="1" x14ac:dyDescent="0.25">
      <c r="I100" s="186"/>
    </row>
    <row r="103" spans="2:9" ht="14.25" customHeight="1" x14ac:dyDescent="0.25">
      <c r="G103" s="186"/>
    </row>
    <row r="105" spans="2:9" ht="14.25" customHeight="1" x14ac:dyDescent="0.25">
      <c r="B105" s="185"/>
    </row>
    <row r="106" spans="2:9" ht="14.25" customHeight="1" x14ac:dyDescent="0.25">
      <c r="B106" s="185"/>
    </row>
    <row r="107" spans="2:9" ht="14.25" customHeight="1" x14ac:dyDescent="0.25">
      <c r="B107" s="185"/>
    </row>
    <row r="108" spans="2:9" ht="14.25" customHeight="1" x14ac:dyDescent="0.25">
      <c r="B108" s="185"/>
    </row>
    <row r="109" spans="2:9" ht="14.25" customHeight="1" x14ac:dyDescent="0.25">
      <c r="B109" s="185"/>
    </row>
    <row r="110" spans="2:9" ht="14.25" customHeight="1" x14ac:dyDescent="0.25">
      <c r="B110" s="185"/>
    </row>
    <row r="111" spans="2:9" ht="14.25" customHeight="1" x14ac:dyDescent="0.25">
      <c r="B111" s="185"/>
    </row>
    <row r="112" spans="2:9" ht="14.25" customHeight="1" x14ac:dyDescent="0.25">
      <c r="B112" s="185"/>
    </row>
    <row r="113" spans="2:5" ht="14.25" customHeight="1" x14ac:dyDescent="0.25">
      <c r="B113" s="185"/>
    </row>
    <row r="114" spans="2:5" ht="14.25" customHeight="1" x14ac:dyDescent="0.25">
      <c r="B114" s="185"/>
    </row>
    <row r="115" spans="2:5" ht="14.25" customHeight="1" x14ac:dyDescent="0.25">
      <c r="B115" s="185"/>
    </row>
    <row r="116" spans="2:5" ht="14.25" customHeight="1" x14ac:dyDescent="0.25">
      <c r="B116" s="185"/>
    </row>
    <row r="117" spans="2:5" ht="14.25" customHeight="1" x14ac:dyDescent="0.25">
      <c r="B117" s="185"/>
    </row>
    <row r="118" spans="2:5" ht="14.25" customHeight="1" x14ac:dyDescent="0.25">
      <c r="B118" s="185"/>
    </row>
    <row r="119" spans="2:5" ht="14.25" customHeight="1" x14ac:dyDescent="0.25">
      <c r="B119" s="185"/>
    </row>
    <row r="120" spans="2:5" ht="14.25" customHeight="1" x14ac:dyDescent="0.25">
      <c r="B120" s="185"/>
    </row>
    <row r="121" spans="2:5" ht="14.25" customHeight="1" x14ac:dyDescent="0.25">
      <c r="B121" s="185"/>
      <c r="E121" s="185"/>
    </row>
    <row r="122" spans="2:5" ht="14.25" customHeight="1" x14ac:dyDescent="0.25">
      <c r="B122" s="185"/>
      <c r="E122" s="185"/>
    </row>
    <row r="123" spans="2:5" ht="14.25" customHeight="1" x14ac:dyDescent="0.25">
      <c r="B123" s="185"/>
      <c r="E123" s="185"/>
    </row>
    <row r="124" spans="2:5" ht="14.25" customHeight="1" x14ac:dyDescent="0.25">
      <c r="B124" s="185"/>
      <c r="E124" s="185"/>
    </row>
    <row r="125" spans="2:5" ht="14.25" customHeight="1" x14ac:dyDescent="0.25">
      <c r="B125" s="186"/>
      <c r="E125" s="185"/>
    </row>
    <row r="126" spans="2:5" ht="14.25" customHeight="1" x14ac:dyDescent="0.25">
      <c r="E126" s="185"/>
    </row>
    <row r="127" spans="2:5" ht="14.25" customHeight="1" x14ac:dyDescent="0.25">
      <c r="E127" s="185"/>
    </row>
    <row r="128" spans="2:5" ht="14.25" customHeight="1" x14ac:dyDescent="0.25">
      <c r="E128" s="185"/>
    </row>
    <row r="129" spans="5:5" ht="14.25" customHeight="1" x14ac:dyDescent="0.25">
      <c r="E129" s="185"/>
    </row>
    <row r="130" spans="5:5" ht="14.25" customHeight="1" x14ac:dyDescent="0.25">
      <c r="E130" s="185"/>
    </row>
    <row r="131" spans="5:5" ht="14.25" customHeight="1" x14ac:dyDescent="0.25">
      <c r="E131" s="185"/>
    </row>
    <row r="132" spans="5:5" ht="14.25" customHeight="1" x14ac:dyDescent="0.25">
      <c r="E132" s="185"/>
    </row>
    <row r="133" spans="5:5" ht="14.25" customHeight="1" x14ac:dyDescent="0.25">
      <c r="E133" s="185"/>
    </row>
    <row r="134" spans="5:5" ht="14.25" customHeight="1" x14ac:dyDescent="0.25">
      <c r="E134" s="185"/>
    </row>
    <row r="135" spans="5:5" ht="14.25" customHeight="1" x14ac:dyDescent="0.25">
      <c r="E135" s="185"/>
    </row>
    <row r="136" spans="5:5" ht="14.25" customHeight="1" x14ac:dyDescent="0.25">
      <c r="E136" s="185"/>
    </row>
  </sheetData>
  <mergeCells count="9">
    <mergeCell ref="B1:C1"/>
    <mergeCell ref="B24:B25"/>
    <mergeCell ref="N9:O9"/>
    <mergeCell ref="E9:L9"/>
    <mergeCell ref="E36:G36"/>
    <mergeCell ref="I21:L21"/>
    <mergeCell ref="B19:B21"/>
    <mergeCell ref="C24:C25"/>
    <mergeCell ref="B9:C9"/>
  </mergeCells>
  <dataValidations disablePrompts="1" count="3">
    <dataValidation type="list" allowBlank="1" showInputMessage="1" showErrorMessage="1" sqref="L16" xr:uid="{00000000-0002-0000-0000-000000000000}">
      <formula1>"1,2,3"</formula1>
      <formula2>0</formula2>
    </dataValidation>
    <dataValidation type="list" allowBlank="1" showInputMessage="1" showErrorMessage="1" sqref="C12 G29" xr:uid="{00000000-0002-0000-0000-000001000000}">
      <formula1>"1,2"</formula1>
      <formula2>0</formula2>
    </dataValidation>
    <dataValidation type="list" allowBlank="1" showInputMessage="1" showErrorMessage="1" sqref="L47" xr:uid="{00000000-0002-0000-0000-000002000000}">
      <formula1>"SI,NO"</formula1>
      <formula2>0</formula2>
    </dataValidation>
  </dataValidations>
  <printOptions horizontalCentered="1" verticalCentered="1"/>
  <pageMargins left="0.70833333333333304" right="0.70833333333333304" top="0.74791666666666701" bottom="0.74791666666666701" header="0.511811023622047" footer="0.511811023622047"/>
  <pageSetup paperSize="9"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CZ119"/>
  <sheetViews>
    <sheetView showGridLines="0" topLeftCell="A89" zoomScale="75" zoomScaleNormal="75" workbookViewId="0">
      <selection activeCell="D114" sqref="D114"/>
    </sheetView>
  </sheetViews>
  <sheetFormatPr defaultColWidth="20.5546875" defaultRowHeight="13.2" outlineLevelRow="1" x14ac:dyDescent="0.3"/>
  <cols>
    <col min="1" max="1" width="2.109375" style="187" customWidth="1"/>
    <col min="2" max="2" width="31.88671875" style="188" customWidth="1"/>
    <col min="3" max="5" width="21.6640625" style="188" customWidth="1"/>
    <col min="6" max="6" width="22.88671875" style="188" customWidth="1"/>
    <col min="7" max="7" width="21.6640625" style="188" customWidth="1"/>
    <col min="8" max="10" width="20.6640625" style="188" customWidth="1"/>
    <col min="11" max="11" width="21.44140625" style="188" customWidth="1"/>
    <col min="12" max="12" width="21.6640625" style="188" customWidth="1"/>
    <col min="13" max="13" width="21" style="188" customWidth="1"/>
    <col min="14" max="14" width="21.6640625" style="188" customWidth="1"/>
    <col min="15" max="15" width="20.6640625" style="188" customWidth="1"/>
    <col min="16" max="18" width="21.44140625" style="188" customWidth="1"/>
    <col min="19" max="19" width="21.6640625" style="188" customWidth="1"/>
    <col min="20" max="21" width="21.44140625" style="188" customWidth="1"/>
    <col min="22" max="22" width="21.6640625" style="188" customWidth="1"/>
    <col min="23" max="23" width="22.44140625" style="187" customWidth="1"/>
    <col min="24" max="24" width="27.33203125" style="187" customWidth="1"/>
    <col min="25" max="104" width="20.5546875" style="187" customWidth="1"/>
    <col min="105" max="105" width="20.5546875" style="188" customWidth="1"/>
    <col min="106" max="16384" width="20.5546875" style="188"/>
  </cols>
  <sheetData>
    <row r="1" spans="2:23" ht="13.5" customHeight="1" x14ac:dyDescent="0.3"/>
    <row r="2" spans="2:23" ht="16.5" customHeight="1" x14ac:dyDescent="0.3">
      <c r="B2" s="511" t="s">
        <v>96</v>
      </c>
      <c r="C2" s="512"/>
      <c r="D2" s="512"/>
      <c r="E2" s="512"/>
      <c r="F2" s="512"/>
      <c r="G2" s="512"/>
      <c r="H2" s="512"/>
      <c r="I2" s="512"/>
      <c r="J2" s="512"/>
      <c r="K2" s="512"/>
      <c r="L2" s="512"/>
      <c r="M2" s="512"/>
      <c r="N2" s="512"/>
      <c r="O2" s="512"/>
      <c r="P2" s="512"/>
      <c r="Q2" s="512"/>
      <c r="R2" s="512"/>
      <c r="S2" s="512"/>
      <c r="T2" s="512"/>
      <c r="U2" s="512"/>
      <c r="V2" s="512"/>
      <c r="W2" s="513"/>
    </row>
    <row r="3" spans="2:23" s="187" customFormat="1" ht="15.75" customHeight="1" x14ac:dyDescent="0.3">
      <c r="B3" s="189"/>
      <c r="C3" s="189"/>
      <c r="D3" s="189"/>
      <c r="E3" s="189"/>
      <c r="F3" s="189"/>
      <c r="G3" s="190"/>
      <c r="H3" s="189"/>
      <c r="I3" s="189"/>
      <c r="J3" s="189"/>
      <c r="K3" s="189"/>
      <c r="L3" s="189"/>
      <c r="M3" s="189"/>
      <c r="N3" s="189"/>
      <c r="O3" s="189"/>
      <c r="P3" s="189"/>
      <c r="Q3" s="189"/>
      <c r="R3" s="189"/>
      <c r="S3" s="189"/>
      <c r="T3" s="189"/>
      <c r="U3" s="189"/>
      <c r="V3" s="189"/>
      <c r="W3" s="189"/>
    </row>
    <row r="4" spans="2:23" ht="15.75" customHeight="1" x14ac:dyDescent="0.3">
      <c r="B4" s="6" t="s">
        <v>97</v>
      </c>
      <c r="C4" s="191">
        <f t="shared" ref="C4:V4" si="0">+C69</f>
        <v>2027</v>
      </c>
      <c r="D4" s="191">
        <f t="shared" si="0"/>
        <v>2028</v>
      </c>
      <c r="E4" s="191">
        <f t="shared" si="0"/>
        <v>2029</v>
      </c>
      <c r="F4" s="191">
        <f t="shared" si="0"/>
        <v>2030</v>
      </c>
      <c r="G4" s="191">
        <f t="shared" si="0"/>
        <v>2031</v>
      </c>
      <c r="H4" s="191">
        <f t="shared" si="0"/>
        <v>2032</v>
      </c>
      <c r="I4" s="191">
        <f t="shared" si="0"/>
        <v>2033</v>
      </c>
      <c r="J4" s="191">
        <f t="shared" si="0"/>
        <v>2034</v>
      </c>
      <c r="K4" s="191">
        <f t="shared" si="0"/>
        <v>2035</v>
      </c>
      <c r="L4" s="191">
        <f t="shared" si="0"/>
        <v>2036</v>
      </c>
      <c r="M4" s="191">
        <f t="shared" si="0"/>
        <v>2037</v>
      </c>
      <c r="N4" s="191">
        <f t="shared" si="0"/>
        <v>2038</v>
      </c>
      <c r="O4" s="191">
        <f t="shared" si="0"/>
        <v>2039</v>
      </c>
      <c r="P4" s="191">
        <f t="shared" si="0"/>
        <v>2040</v>
      </c>
      <c r="Q4" s="191">
        <f t="shared" si="0"/>
        <v>2041</v>
      </c>
      <c r="R4" s="191">
        <f t="shared" si="0"/>
        <v>2042</v>
      </c>
      <c r="S4" s="191">
        <f t="shared" si="0"/>
        <v>2043</v>
      </c>
      <c r="T4" s="191">
        <f t="shared" si="0"/>
        <v>2044</v>
      </c>
      <c r="U4" s="191">
        <f t="shared" si="0"/>
        <v>2045</v>
      </c>
      <c r="V4" s="191">
        <f t="shared" si="0"/>
        <v>2046</v>
      </c>
      <c r="W4" s="514"/>
    </row>
    <row r="5" spans="2:23" ht="14.25" customHeight="1" x14ac:dyDescent="0.25">
      <c r="B5" s="6" t="str">
        <f>CONTROL!B2</f>
        <v>TIR Nominal (con IVA)</v>
      </c>
      <c r="C5" s="192">
        <f>+CONTROL!C15</f>
        <v>46388</v>
      </c>
      <c r="D5" s="193">
        <f t="shared" ref="D5:V5" si="1">+EDATE(C5,12)</f>
        <v>46753</v>
      </c>
      <c r="E5" s="194">
        <f t="shared" si="1"/>
        <v>47119</v>
      </c>
      <c r="F5" s="194">
        <f t="shared" si="1"/>
        <v>47484</v>
      </c>
      <c r="G5" s="194">
        <f t="shared" si="1"/>
        <v>47849</v>
      </c>
      <c r="H5" s="194">
        <f t="shared" si="1"/>
        <v>48214</v>
      </c>
      <c r="I5" s="194">
        <f t="shared" si="1"/>
        <v>48580</v>
      </c>
      <c r="J5" s="194">
        <f t="shared" si="1"/>
        <v>48945</v>
      </c>
      <c r="K5" s="194">
        <f t="shared" si="1"/>
        <v>49310</v>
      </c>
      <c r="L5" s="194">
        <f t="shared" si="1"/>
        <v>49675</v>
      </c>
      <c r="M5" s="194">
        <f t="shared" si="1"/>
        <v>50041</v>
      </c>
      <c r="N5" s="194">
        <f t="shared" si="1"/>
        <v>50406</v>
      </c>
      <c r="O5" s="194">
        <f t="shared" si="1"/>
        <v>50771</v>
      </c>
      <c r="P5" s="194">
        <f t="shared" si="1"/>
        <v>51136</v>
      </c>
      <c r="Q5" s="194">
        <f t="shared" si="1"/>
        <v>51502</v>
      </c>
      <c r="R5" s="194">
        <f t="shared" si="1"/>
        <v>51867</v>
      </c>
      <c r="S5" s="194">
        <f t="shared" si="1"/>
        <v>52232</v>
      </c>
      <c r="T5" s="194">
        <f t="shared" si="1"/>
        <v>52597</v>
      </c>
      <c r="U5" s="194">
        <f t="shared" si="1"/>
        <v>52963</v>
      </c>
      <c r="V5" s="194">
        <f t="shared" si="1"/>
        <v>53328</v>
      </c>
      <c r="W5" s="515"/>
    </row>
    <row r="6" spans="2:23" ht="15" customHeight="1" x14ac:dyDescent="0.25">
      <c r="B6" s="4">
        <f>CONTROL!C2</f>
        <v>2.2128474741156055</v>
      </c>
      <c r="C6" s="195">
        <f>+EDATE(C5,12)-1</f>
        <v>46752</v>
      </c>
      <c r="D6" s="194">
        <f t="shared" ref="D6:V6" si="2">+EDATE(C6,12)</f>
        <v>47118</v>
      </c>
      <c r="E6" s="194">
        <f t="shared" si="2"/>
        <v>47483</v>
      </c>
      <c r="F6" s="194">
        <f t="shared" si="2"/>
        <v>47848</v>
      </c>
      <c r="G6" s="194">
        <f t="shared" si="2"/>
        <v>48213</v>
      </c>
      <c r="H6" s="194">
        <f t="shared" si="2"/>
        <v>48579</v>
      </c>
      <c r="I6" s="194">
        <f t="shared" si="2"/>
        <v>48944</v>
      </c>
      <c r="J6" s="194">
        <f t="shared" si="2"/>
        <v>49309</v>
      </c>
      <c r="K6" s="194">
        <f t="shared" si="2"/>
        <v>49674</v>
      </c>
      <c r="L6" s="194">
        <f t="shared" si="2"/>
        <v>50040</v>
      </c>
      <c r="M6" s="194">
        <f t="shared" si="2"/>
        <v>50405</v>
      </c>
      <c r="N6" s="194">
        <f t="shared" si="2"/>
        <v>50770</v>
      </c>
      <c r="O6" s="194">
        <f t="shared" si="2"/>
        <v>51135</v>
      </c>
      <c r="P6" s="194">
        <f t="shared" si="2"/>
        <v>51501</v>
      </c>
      <c r="Q6" s="194">
        <f t="shared" si="2"/>
        <v>51866</v>
      </c>
      <c r="R6" s="194">
        <f t="shared" si="2"/>
        <v>52231</v>
      </c>
      <c r="S6" s="194">
        <f t="shared" si="2"/>
        <v>52596</v>
      </c>
      <c r="T6" s="194">
        <f t="shared" si="2"/>
        <v>52962</v>
      </c>
      <c r="U6" s="194">
        <f t="shared" si="2"/>
        <v>53327</v>
      </c>
      <c r="V6" s="194">
        <f t="shared" si="2"/>
        <v>53692</v>
      </c>
      <c r="W6" s="515"/>
    </row>
    <row r="7" spans="2:23" s="187" customFormat="1" ht="15" customHeight="1" x14ac:dyDescent="0.25">
      <c r="B7" s="196"/>
      <c r="C7" s="197"/>
      <c r="D7" s="197"/>
      <c r="E7" s="197"/>
      <c r="F7" s="197"/>
      <c r="G7" s="197"/>
      <c r="H7" s="197"/>
      <c r="I7" s="197"/>
      <c r="J7" s="197"/>
      <c r="K7" s="197"/>
      <c r="L7" s="197"/>
      <c r="M7" s="197"/>
      <c r="N7" s="197"/>
      <c r="O7" s="197"/>
      <c r="P7" s="197"/>
      <c r="Q7" s="197"/>
      <c r="R7" s="197"/>
      <c r="S7" s="197"/>
      <c r="T7" s="197"/>
      <c r="U7" s="197"/>
      <c r="V7" s="197"/>
      <c r="W7" s="5"/>
    </row>
    <row r="8" spans="2:23" s="198" customFormat="1" ht="15.75" customHeight="1" x14ac:dyDescent="0.3">
      <c r="B8" s="199" t="s">
        <v>98</v>
      </c>
      <c r="C8" s="200">
        <v>1</v>
      </c>
      <c r="D8" s="200">
        <v>2</v>
      </c>
      <c r="E8" s="200">
        <v>3</v>
      </c>
      <c r="F8" s="200">
        <v>4</v>
      </c>
      <c r="G8" s="200">
        <v>5</v>
      </c>
      <c r="H8" s="200">
        <v>6</v>
      </c>
      <c r="I8" s="200">
        <v>7</v>
      </c>
      <c r="J8" s="200">
        <v>8</v>
      </c>
      <c r="K8" s="200">
        <v>9</v>
      </c>
      <c r="L8" s="200">
        <v>10</v>
      </c>
      <c r="M8" s="200">
        <v>11</v>
      </c>
      <c r="N8" s="200">
        <v>12</v>
      </c>
      <c r="O8" s="200">
        <v>13</v>
      </c>
      <c r="P8" s="200">
        <v>14</v>
      </c>
      <c r="Q8" s="200">
        <v>15</v>
      </c>
      <c r="R8" s="200">
        <v>16</v>
      </c>
      <c r="S8" s="200">
        <v>17</v>
      </c>
      <c r="T8" s="200">
        <v>18</v>
      </c>
      <c r="U8" s="200">
        <v>19</v>
      </c>
      <c r="V8" s="200">
        <v>20</v>
      </c>
      <c r="W8" s="201"/>
    </row>
    <row r="9" spans="2:23" s="187" customFormat="1" ht="12.75" customHeight="1" outlineLevel="1" x14ac:dyDescent="0.25">
      <c r="B9" s="7" t="s">
        <v>99</v>
      </c>
      <c r="C9" s="202">
        <f t="shared" ref="C9:V9" si="3">+C6-C5+1</f>
        <v>365</v>
      </c>
      <c r="D9" s="203">
        <f t="shared" si="3"/>
        <v>366</v>
      </c>
      <c r="E9" s="203">
        <f t="shared" si="3"/>
        <v>365</v>
      </c>
      <c r="F9" s="203">
        <f t="shared" si="3"/>
        <v>365</v>
      </c>
      <c r="G9" s="203">
        <f t="shared" si="3"/>
        <v>365</v>
      </c>
      <c r="H9" s="203">
        <f t="shared" si="3"/>
        <v>366</v>
      </c>
      <c r="I9" s="203">
        <f t="shared" si="3"/>
        <v>365</v>
      </c>
      <c r="J9" s="203">
        <f t="shared" si="3"/>
        <v>365</v>
      </c>
      <c r="K9" s="203">
        <f t="shared" si="3"/>
        <v>365</v>
      </c>
      <c r="L9" s="203">
        <f t="shared" si="3"/>
        <v>366</v>
      </c>
      <c r="M9" s="203">
        <f t="shared" si="3"/>
        <v>365</v>
      </c>
      <c r="N9" s="203">
        <f t="shared" si="3"/>
        <v>365</v>
      </c>
      <c r="O9" s="203">
        <f t="shared" si="3"/>
        <v>365</v>
      </c>
      <c r="P9" s="203">
        <f t="shared" si="3"/>
        <v>366</v>
      </c>
      <c r="Q9" s="203">
        <f t="shared" si="3"/>
        <v>365</v>
      </c>
      <c r="R9" s="203">
        <f t="shared" si="3"/>
        <v>365</v>
      </c>
      <c r="S9" s="203">
        <f t="shared" si="3"/>
        <v>365</v>
      </c>
      <c r="T9" s="203">
        <f t="shared" si="3"/>
        <v>366</v>
      </c>
      <c r="U9" s="203">
        <f t="shared" si="3"/>
        <v>365</v>
      </c>
      <c r="V9" s="203">
        <f t="shared" si="3"/>
        <v>365</v>
      </c>
      <c r="W9" s="5"/>
    </row>
    <row r="10" spans="2:23" s="187" customFormat="1" ht="12.75" customHeight="1" outlineLevel="1" x14ac:dyDescent="0.25">
      <c r="B10" s="2" t="s">
        <v>100</v>
      </c>
      <c r="C10" s="202">
        <f t="shared" ref="C10:L11" si="4">+C9</f>
        <v>365</v>
      </c>
      <c r="D10" s="203">
        <f t="shared" si="4"/>
        <v>366</v>
      </c>
      <c r="E10" s="203">
        <f t="shared" si="4"/>
        <v>365</v>
      </c>
      <c r="F10" s="203">
        <f t="shared" si="4"/>
        <v>365</v>
      </c>
      <c r="G10" s="203">
        <f t="shared" si="4"/>
        <v>365</v>
      </c>
      <c r="H10" s="203">
        <f t="shared" si="4"/>
        <v>366</v>
      </c>
      <c r="I10" s="203">
        <f t="shared" si="4"/>
        <v>365</v>
      </c>
      <c r="J10" s="203">
        <f t="shared" si="4"/>
        <v>365</v>
      </c>
      <c r="K10" s="203">
        <f t="shared" si="4"/>
        <v>365</v>
      </c>
      <c r="L10" s="203">
        <f t="shared" si="4"/>
        <v>366</v>
      </c>
      <c r="M10" s="203">
        <f t="shared" ref="M10:V11" si="5">+M9</f>
        <v>365</v>
      </c>
      <c r="N10" s="203">
        <f t="shared" si="5"/>
        <v>365</v>
      </c>
      <c r="O10" s="203">
        <f t="shared" si="5"/>
        <v>365</v>
      </c>
      <c r="P10" s="203">
        <f t="shared" si="5"/>
        <v>366</v>
      </c>
      <c r="Q10" s="203">
        <f t="shared" si="5"/>
        <v>365</v>
      </c>
      <c r="R10" s="203">
        <f t="shared" si="5"/>
        <v>365</v>
      </c>
      <c r="S10" s="203">
        <f t="shared" si="5"/>
        <v>365</v>
      </c>
      <c r="T10" s="203">
        <f t="shared" si="5"/>
        <v>366</v>
      </c>
      <c r="U10" s="203">
        <f t="shared" si="5"/>
        <v>365</v>
      </c>
      <c r="V10" s="203">
        <f t="shared" si="5"/>
        <v>365</v>
      </c>
      <c r="W10" s="5"/>
    </row>
    <row r="11" spans="2:23" s="187" customFormat="1" ht="12.75" customHeight="1" outlineLevel="1" x14ac:dyDescent="0.25">
      <c r="B11" s="2" t="s">
        <v>101</v>
      </c>
      <c r="C11" s="202">
        <f t="shared" si="4"/>
        <v>365</v>
      </c>
      <c r="D11" s="203">
        <f t="shared" si="4"/>
        <v>366</v>
      </c>
      <c r="E11" s="203">
        <f t="shared" si="4"/>
        <v>365</v>
      </c>
      <c r="F11" s="203">
        <f t="shared" si="4"/>
        <v>365</v>
      </c>
      <c r="G11" s="203">
        <f t="shared" si="4"/>
        <v>365</v>
      </c>
      <c r="H11" s="203">
        <f t="shared" si="4"/>
        <v>366</v>
      </c>
      <c r="I11" s="203">
        <f t="shared" si="4"/>
        <v>365</v>
      </c>
      <c r="J11" s="203">
        <f t="shared" si="4"/>
        <v>365</v>
      </c>
      <c r="K11" s="203">
        <f t="shared" si="4"/>
        <v>365</v>
      </c>
      <c r="L11" s="203">
        <f t="shared" si="4"/>
        <v>366</v>
      </c>
      <c r="M11" s="203">
        <f t="shared" si="5"/>
        <v>365</v>
      </c>
      <c r="N11" s="203">
        <f t="shared" si="5"/>
        <v>365</v>
      </c>
      <c r="O11" s="203">
        <f t="shared" si="5"/>
        <v>365</v>
      </c>
      <c r="P11" s="203">
        <f t="shared" si="5"/>
        <v>366</v>
      </c>
      <c r="Q11" s="203">
        <f t="shared" si="5"/>
        <v>365</v>
      </c>
      <c r="R11" s="203">
        <f t="shared" si="5"/>
        <v>365</v>
      </c>
      <c r="S11" s="203">
        <f t="shared" si="5"/>
        <v>365</v>
      </c>
      <c r="T11" s="203">
        <f t="shared" si="5"/>
        <v>366</v>
      </c>
      <c r="U11" s="203">
        <f t="shared" si="5"/>
        <v>365</v>
      </c>
      <c r="V11" s="203">
        <f t="shared" si="5"/>
        <v>365</v>
      </c>
      <c r="W11" s="5"/>
    </row>
    <row r="12" spans="2:23" s="187" customFormat="1" ht="12.75" customHeight="1" outlineLevel="1" x14ac:dyDescent="0.25">
      <c r="B12" s="1" t="s">
        <v>102</v>
      </c>
      <c r="C12" s="93">
        <f>+HIPOTESIS!C11</f>
        <v>1</v>
      </c>
      <c r="D12" s="93">
        <f>+HIPOTESIS!D11</f>
        <v>1</v>
      </c>
      <c r="E12" s="93">
        <f>+HIPOTESIS!E11</f>
        <v>1</v>
      </c>
      <c r="F12" s="93">
        <f>+HIPOTESIS!F11</f>
        <v>1</v>
      </c>
      <c r="G12" s="93">
        <f>+HIPOTESIS!G11</f>
        <v>1</v>
      </c>
      <c r="H12" s="93">
        <f>+HIPOTESIS!H11</f>
        <v>1</v>
      </c>
      <c r="I12" s="93">
        <f>+HIPOTESIS!I11</f>
        <v>1</v>
      </c>
      <c r="J12" s="93">
        <f>+HIPOTESIS!J11</f>
        <v>1</v>
      </c>
      <c r="K12" s="93">
        <f>+HIPOTESIS!K11</f>
        <v>1</v>
      </c>
      <c r="L12" s="93">
        <f>+HIPOTESIS!L11</f>
        <v>1</v>
      </c>
      <c r="M12" s="93">
        <f>+HIPOTESIS!M11</f>
        <v>1</v>
      </c>
      <c r="N12" s="93">
        <f>+HIPOTESIS!N11</f>
        <v>1</v>
      </c>
      <c r="O12" s="93">
        <f>+HIPOTESIS!O11</f>
        <v>1</v>
      </c>
      <c r="P12" s="93">
        <f>+HIPOTESIS!P11</f>
        <v>1</v>
      </c>
      <c r="Q12" s="93">
        <f>+HIPOTESIS!Q11</f>
        <v>1</v>
      </c>
      <c r="R12" s="93">
        <f>+HIPOTESIS!R11</f>
        <v>1</v>
      </c>
      <c r="S12" s="93">
        <f>+HIPOTESIS!S11</f>
        <v>1</v>
      </c>
      <c r="T12" s="93">
        <f>+HIPOTESIS!T11</f>
        <v>1</v>
      </c>
      <c r="U12" s="93">
        <f>+HIPOTESIS!U11</f>
        <v>1</v>
      </c>
      <c r="V12" s="93">
        <f>+HIPOTESIS!V11</f>
        <v>1</v>
      </c>
      <c r="W12" s="5"/>
    </row>
    <row r="13" spans="2:23" s="187" customFormat="1" ht="12.75" customHeight="1" outlineLevel="1" x14ac:dyDescent="0.25">
      <c r="B13" s="1" t="s">
        <v>103</v>
      </c>
      <c r="C13" s="204">
        <f>+HIPOTESIS!C12</f>
        <v>1</v>
      </c>
      <c r="D13" s="93">
        <f>+HIPOTESIS!D12</f>
        <v>1</v>
      </c>
      <c r="E13" s="93">
        <f>+HIPOTESIS!E12</f>
        <v>1</v>
      </c>
      <c r="F13" s="93">
        <f>+HIPOTESIS!F12</f>
        <v>1</v>
      </c>
      <c r="G13" s="93">
        <f>+HIPOTESIS!G12</f>
        <v>1</v>
      </c>
      <c r="H13" s="93">
        <f>+HIPOTESIS!H12</f>
        <v>1</v>
      </c>
      <c r="I13" s="93">
        <f>+HIPOTESIS!I12</f>
        <v>1</v>
      </c>
      <c r="J13" s="93">
        <f>+HIPOTESIS!J12</f>
        <v>1</v>
      </c>
      <c r="K13" s="93">
        <f>+HIPOTESIS!K12</f>
        <v>1</v>
      </c>
      <c r="L13" s="93">
        <f>+HIPOTESIS!L12</f>
        <v>1</v>
      </c>
      <c r="M13" s="93">
        <f>+HIPOTESIS!M12</f>
        <v>1</v>
      </c>
      <c r="N13" s="93">
        <f>+HIPOTESIS!N12</f>
        <v>1</v>
      </c>
      <c r="O13" s="93">
        <f>+HIPOTESIS!O12</f>
        <v>1</v>
      </c>
      <c r="P13" s="93">
        <f>+HIPOTESIS!P12</f>
        <v>1</v>
      </c>
      <c r="Q13" s="93">
        <f>+HIPOTESIS!Q12</f>
        <v>1</v>
      </c>
      <c r="R13" s="93">
        <f>+HIPOTESIS!R12</f>
        <v>1</v>
      </c>
      <c r="S13" s="93">
        <f>+HIPOTESIS!S12</f>
        <v>1</v>
      </c>
      <c r="T13" s="93">
        <f>+HIPOTESIS!T12</f>
        <v>1</v>
      </c>
      <c r="U13" s="93">
        <f>+HIPOTESIS!U12</f>
        <v>1</v>
      </c>
      <c r="V13" s="93">
        <f>+HIPOTESIS!V12</f>
        <v>1</v>
      </c>
      <c r="W13" s="5"/>
    </row>
    <row r="14" spans="2:23" s="187" customFormat="1" ht="12.75" customHeight="1" outlineLevel="1" x14ac:dyDescent="0.25">
      <c r="B14" s="1" t="s">
        <v>104</v>
      </c>
      <c r="C14" s="204">
        <f>+HIPOTESIS!C13</f>
        <v>1</v>
      </c>
      <c r="D14" s="93">
        <f>+HIPOTESIS!D13</f>
        <v>1</v>
      </c>
      <c r="E14" s="93">
        <f>+HIPOTESIS!E13</f>
        <v>1</v>
      </c>
      <c r="F14" s="93">
        <f>+HIPOTESIS!F13</f>
        <v>1</v>
      </c>
      <c r="G14" s="93">
        <f>+HIPOTESIS!G13</f>
        <v>1</v>
      </c>
      <c r="H14" s="93">
        <f>+HIPOTESIS!H13</f>
        <v>1</v>
      </c>
      <c r="I14" s="93">
        <f>+HIPOTESIS!I13</f>
        <v>1</v>
      </c>
      <c r="J14" s="93">
        <f>+HIPOTESIS!J13</f>
        <v>1</v>
      </c>
      <c r="K14" s="93">
        <f>+HIPOTESIS!K13</f>
        <v>1</v>
      </c>
      <c r="L14" s="93">
        <f>+HIPOTESIS!L13</f>
        <v>1</v>
      </c>
      <c r="M14" s="93">
        <f>+HIPOTESIS!M13</f>
        <v>1</v>
      </c>
      <c r="N14" s="93">
        <f>+HIPOTESIS!N13</f>
        <v>1</v>
      </c>
      <c r="O14" s="93">
        <f>+HIPOTESIS!O13</f>
        <v>1</v>
      </c>
      <c r="P14" s="93">
        <f>+HIPOTESIS!P13</f>
        <v>1</v>
      </c>
      <c r="Q14" s="93">
        <f>+HIPOTESIS!Q13</f>
        <v>1</v>
      </c>
      <c r="R14" s="93">
        <f>+HIPOTESIS!R13</f>
        <v>1</v>
      </c>
      <c r="S14" s="93">
        <f>+HIPOTESIS!S13</f>
        <v>1</v>
      </c>
      <c r="T14" s="93">
        <f>+HIPOTESIS!T13</f>
        <v>1</v>
      </c>
      <c r="U14" s="93">
        <f>+HIPOTESIS!U13</f>
        <v>1</v>
      </c>
      <c r="V14" s="93">
        <f>+HIPOTESIS!V13</f>
        <v>1</v>
      </c>
      <c r="W14" s="5"/>
    </row>
    <row r="15" spans="2:23" s="187" customFormat="1" ht="13.5" customHeight="1" x14ac:dyDescent="0.25">
      <c r="C15" s="134"/>
      <c r="D15" s="134"/>
      <c r="E15" s="134"/>
      <c r="F15" s="134"/>
      <c r="G15" s="134"/>
      <c r="H15" s="134"/>
      <c r="I15" s="134"/>
      <c r="J15" s="134"/>
      <c r="K15" s="134"/>
      <c r="L15" s="134"/>
      <c r="M15" s="134"/>
      <c r="N15" s="134"/>
      <c r="O15" s="134"/>
      <c r="P15" s="134"/>
      <c r="Q15" s="134"/>
      <c r="R15" s="134"/>
      <c r="S15" s="134"/>
      <c r="T15" s="134"/>
      <c r="U15" s="134"/>
      <c r="V15" s="134"/>
      <c r="W15" s="5"/>
    </row>
    <row r="16" spans="2:23" ht="19.5" customHeight="1" x14ac:dyDescent="0.3">
      <c r="B16" s="205" t="s">
        <v>105</v>
      </c>
      <c r="C16" s="206"/>
      <c r="D16" s="207">
        <f>CONTROL!C36</f>
        <v>0.03</v>
      </c>
      <c r="E16" s="207">
        <f t="shared" ref="E16:V16" si="6">+D16</f>
        <v>0.03</v>
      </c>
      <c r="F16" s="206">
        <f t="shared" si="6"/>
        <v>0.03</v>
      </c>
      <c r="G16" s="206">
        <f t="shared" si="6"/>
        <v>0.03</v>
      </c>
      <c r="H16" s="206">
        <f t="shared" si="6"/>
        <v>0.03</v>
      </c>
      <c r="I16" s="206">
        <f t="shared" si="6"/>
        <v>0.03</v>
      </c>
      <c r="J16" s="206">
        <f t="shared" si="6"/>
        <v>0.03</v>
      </c>
      <c r="K16" s="206">
        <f t="shared" si="6"/>
        <v>0.03</v>
      </c>
      <c r="L16" s="206">
        <f t="shared" si="6"/>
        <v>0.03</v>
      </c>
      <c r="M16" s="206">
        <f t="shared" si="6"/>
        <v>0.03</v>
      </c>
      <c r="N16" s="206">
        <f t="shared" si="6"/>
        <v>0.03</v>
      </c>
      <c r="O16" s="206">
        <f t="shared" si="6"/>
        <v>0.03</v>
      </c>
      <c r="P16" s="206">
        <f t="shared" si="6"/>
        <v>0.03</v>
      </c>
      <c r="Q16" s="206">
        <f t="shared" si="6"/>
        <v>0.03</v>
      </c>
      <c r="R16" s="206">
        <f t="shared" si="6"/>
        <v>0.03</v>
      </c>
      <c r="S16" s="206">
        <f t="shared" si="6"/>
        <v>0.03</v>
      </c>
      <c r="T16" s="206">
        <f t="shared" si="6"/>
        <v>0.03</v>
      </c>
      <c r="U16" s="206">
        <f t="shared" si="6"/>
        <v>0.03</v>
      </c>
      <c r="V16" s="206">
        <f t="shared" si="6"/>
        <v>0.03</v>
      </c>
      <c r="W16" s="519" t="s">
        <v>106</v>
      </c>
    </row>
    <row r="17" spans="2:24" ht="16.5" customHeight="1" x14ac:dyDescent="0.3">
      <c r="B17" s="208" t="s">
        <v>107</v>
      </c>
      <c r="C17" s="209"/>
      <c r="D17" s="210"/>
      <c r="E17" s="210"/>
      <c r="F17" s="210"/>
      <c r="G17" s="210"/>
      <c r="H17" s="210"/>
      <c r="I17" s="210"/>
      <c r="J17" s="210"/>
      <c r="K17" s="210"/>
      <c r="L17" s="210"/>
      <c r="M17" s="210"/>
      <c r="N17" s="210"/>
      <c r="O17" s="210"/>
      <c r="P17" s="210"/>
      <c r="Q17" s="210"/>
      <c r="R17" s="210"/>
      <c r="S17" s="210"/>
      <c r="T17" s="210"/>
      <c r="U17" s="210"/>
      <c r="V17" s="211"/>
      <c r="W17" s="518"/>
    </row>
    <row r="18" spans="2:24" s="187" customFormat="1" ht="15" customHeight="1" x14ac:dyDescent="0.3">
      <c r="B18" s="212" t="s">
        <v>108</v>
      </c>
      <c r="C18" s="213">
        <f>SUM(C19:C20)</f>
        <v>0</v>
      </c>
      <c r="D18" s="213">
        <f t="shared" ref="D18:Q18" si="7">SUM(D19:D21)</f>
        <v>35053948800</v>
      </c>
      <c r="E18" s="213">
        <f t="shared" si="7"/>
        <v>36105567264</v>
      </c>
      <c r="F18" s="213">
        <f t="shared" si="7"/>
        <v>37188734281.919998</v>
      </c>
      <c r="G18" s="213">
        <f t="shared" si="7"/>
        <v>38304396310.377602</v>
      </c>
      <c r="H18" s="213">
        <f t="shared" si="7"/>
        <v>39453528199.688927</v>
      </c>
      <c r="I18" s="213">
        <f t="shared" si="7"/>
        <v>40637134045.679596</v>
      </c>
      <c r="J18" s="213">
        <f t="shared" si="7"/>
        <v>41856248067.049988</v>
      </c>
      <c r="K18" s="213">
        <f t="shared" si="7"/>
        <v>43111935509.061493</v>
      </c>
      <c r="L18" s="213">
        <f t="shared" si="7"/>
        <v>44405293574.333336</v>
      </c>
      <c r="M18" s="213">
        <f t="shared" si="7"/>
        <v>45737452381.563332</v>
      </c>
      <c r="N18" s="213">
        <f t="shared" si="7"/>
        <v>47109575953.010231</v>
      </c>
      <c r="O18" s="213">
        <f t="shared" si="7"/>
        <v>48522863231.60054</v>
      </c>
      <c r="P18" s="213">
        <f t="shared" si="7"/>
        <v>49978549128.548561</v>
      </c>
      <c r="Q18" s="213">
        <f t="shared" si="7"/>
        <v>51477905602.405022</v>
      </c>
      <c r="R18" s="213">
        <f>IF(CONTROL!$C$12=2,SUM(R19:R21),0)</f>
        <v>53022242770.477173</v>
      </c>
      <c r="S18" s="213">
        <f>IF(CONTROL!$C$12=2,SUM(S19:S21),0)</f>
        <v>54612910053.591492</v>
      </c>
      <c r="T18" s="213">
        <f>IF(CONTROL!$C$12=2,SUM(T19:T21),0)</f>
        <v>56251297355.199234</v>
      </c>
      <c r="U18" s="213">
        <f>IF(CONTROL!$C$12=2,SUM(U19:U21),0)</f>
        <v>57938836275.855217</v>
      </c>
      <c r="V18" s="214">
        <f>IF(CONTROL!$C$12=2,SUM(V19:V21),0)</f>
        <v>59677001364.130875</v>
      </c>
      <c r="W18" s="215">
        <f>+SUM(C18:V18)</f>
        <v>880445420168.49268</v>
      </c>
      <c r="X18" s="216"/>
    </row>
    <row r="19" spans="2:24" ht="15" customHeight="1" x14ac:dyDescent="0.3">
      <c r="B19" s="217" t="s">
        <v>109</v>
      </c>
      <c r="C19" s="218">
        <f t="shared" ref="C19:V19" si="8">+C73+C74</f>
        <v>0</v>
      </c>
      <c r="D19" s="218">
        <f t="shared" si="8"/>
        <v>34706880000</v>
      </c>
      <c r="E19" s="218">
        <f t="shared" si="8"/>
        <v>35748086400</v>
      </c>
      <c r="F19" s="218">
        <f t="shared" si="8"/>
        <v>36820528992</v>
      </c>
      <c r="G19" s="218">
        <f t="shared" si="8"/>
        <v>37925144861.760002</v>
      </c>
      <c r="H19" s="218">
        <f t="shared" si="8"/>
        <v>39062899207.612801</v>
      </c>
      <c r="I19" s="218">
        <f t="shared" si="8"/>
        <v>40234786183.841187</v>
      </c>
      <c r="J19" s="218">
        <f t="shared" si="8"/>
        <v>41441829769.356422</v>
      </c>
      <c r="K19" s="218">
        <f t="shared" si="8"/>
        <v>42685084662.437119</v>
      </c>
      <c r="L19" s="218">
        <f t="shared" si="8"/>
        <v>43965637202.310234</v>
      </c>
      <c r="M19" s="218">
        <f t="shared" si="8"/>
        <v>45284606318.379539</v>
      </c>
      <c r="N19" s="218">
        <f t="shared" si="8"/>
        <v>46643144507.930923</v>
      </c>
      <c r="O19" s="218">
        <f t="shared" si="8"/>
        <v>48042438843.168854</v>
      </c>
      <c r="P19" s="218">
        <f t="shared" si="8"/>
        <v>49483712008.463921</v>
      </c>
      <c r="Q19" s="218">
        <f t="shared" si="8"/>
        <v>50968223368.717842</v>
      </c>
      <c r="R19" s="218">
        <f t="shared" si="8"/>
        <v>52497270069.779381</v>
      </c>
      <c r="S19" s="218">
        <f t="shared" si="8"/>
        <v>54072188171.872765</v>
      </c>
      <c r="T19" s="218">
        <f t="shared" si="8"/>
        <v>55694353817.028946</v>
      </c>
      <c r="U19" s="218">
        <f t="shared" si="8"/>
        <v>57365184431.539818</v>
      </c>
      <c r="V19" s="218">
        <f t="shared" si="8"/>
        <v>59086139964.486015</v>
      </c>
      <c r="W19" s="215">
        <f>+SUM(C19:V19)</f>
        <v>871728138780.68567</v>
      </c>
      <c r="X19" s="216"/>
    </row>
    <row r="20" spans="2:24" ht="15" customHeight="1" x14ac:dyDescent="0.3">
      <c r="B20" s="217" t="s">
        <v>110</v>
      </c>
      <c r="C20" s="219">
        <f t="shared" ref="C20:V20" si="9">+C75</f>
        <v>0</v>
      </c>
      <c r="D20" s="219">
        <f t="shared" si="9"/>
        <v>347068800</v>
      </c>
      <c r="E20" s="219">
        <f t="shared" si="9"/>
        <v>357480864</v>
      </c>
      <c r="F20" s="219">
        <f t="shared" si="9"/>
        <v>368205289.92000002</v>
      </c>
      <c r="G20" s="219">
        <f t="shared" si="9"/>
        <v>379251448.61760002</v>
      </c>
      <c r="H20" s="219">
        <f t="shared" si="9"/>
        <v>390628992.07612801</v>
      </c>
      <c r="I20" s="219">
        <f t="shared" si="9"/>
        <v>402347861.83841187</v>
      </c>
      <c r="J20" s="219">
        <f t="shared" si="9"/>
        <v>414418297.69356424</v>
      </c>
      <c r="K20" s="219">
        <f t="shared" si="9"/>
        <v>426850846.62437117</v>
      </c>
      <c r="L20" s="219">
        <f t="shared" si="9"/>
        <v>439656372.02310234</v>
      </c>
      <c r="M20" s="219">
        <f t="shared" si="9"/>
        <v>452846063.18379539</v>
      </c>
      <c r="N20" s="219">
        <f t="shared" si="9"/>
        <v>466431445.07930923</v>
      </c>
      <c r="O20" s="219">
        <f t="shared" si="9"/>
        <v>480424388.43168855</v>
      </c>
      <c r="P20" s="219">
        <f t="shared" si="9"/>
        <v>494837120.08463919</v>
      </c>
      <c r="Q20" s="219">
        <f t="shared" si="9"/>
        <v>509682233.68717843</v>
      </c>
      <c r="R20" s="219">
        <f t="shared" si="9"/>
        <v>524972700.69779384</v>
      </c>
      <c r="S20" s="219">
        <f t="shared" si="9"/>
        <v>540721881.71872771</v>
      </c>
      <c r="T20" s="219">
        <f t="shared" si="9"/>
        <v>556943538.17028952</v>
      </c>
      <c r="U20" s="219">
        <f t="shared" si="9"/>
        <v>573651844.31539822</v>
      </c>
      <c r="V20" s="219">
        <f t="shared" si="9"/>
        <v>590861399.64486015</v>
      </c>
      <c r="W20" s="215">
        <f>+SUM(C20:V20)</f>
        <v>8717281387.8068581</v>
      </c>
      <c r="X20" s="216"/>
    </row>
    <row r="21" spans="2:24" s="187" customFormat="1" ht="13.5" customHeight="1" x14ac:dyDescent="0.3">
      <c r="B21" s="220" t="s">
        <v>111</v>
      </c>
      <c r="C21" s="218">
        <f t="shared" ref="C21:V21" si="10">+C76</f>
        <v>23334520011</v>
      </c>
      <c r="D21" s="218">
        <f t="shared" si="10"/>
        <v>0</v>
      </c>
      <c r="E21" s="218">
        <f t="shared" si="10"/>
        <v>0</v>
      </c>
      <c r="F21" s="218">
        <f t="shared" si="10"/>
        <v>0</v>
      </c>
      <c r="G21" s="218">
        <f t="shared" si="10"/>
        <v>0</v>
      </c>
      <c r="H21" s="218">
        <f t="shared" si="10"/>
        <v>0</v>
      </c>
      <c r="I21" s="218">
        <f t="shared" si="10"/>
        <v>0</v>
      </c>
      <c r="J21" s="218">
        <f t="shared" si="10"/>
        <v>0</v>
      </c>
      <c r="K21" s="218">
        <f t="shared" si="10"/>
        <v>0</v>
      </c>
      <c r="L21" s="218">
        <f t="shared" si="10"/>
        <v>0</v>
      </c>
      <c r="M21" s="218">
        <f t="shared" si="10"/>
        <v>0</v>
      </c>
      <c r="N21" s="218">
        <f t="shared" si="10"/>
        <v>0</v>
      </c>
      <c r="O21" s="218">
        <f t="shared" si="10"/>
        <v>0</v>
      </c>
      <c r="P21" s="218">
        <f t="shared" si="10"/>
        <v>0</v>
      </c>
      <c r="Q21" s="218">
        <f t="shared" si="10"/>
        <v>0</v>
      </c>
      <c r="R21" s="218">
        <f t="shared" si="10"/>
        <v>0</v>
      </c>
      <c r="S21" s="218">
        <f t="shared" si="10"/>
        <v>0</v>
      </c>
      <c r="T21" s="218">
        <f t="shared" si="10"/>
        <v>0</v>
      </c>
      <c r="U21" s="218">
        <f t="shared" si="10"/>
        <v>0</v>
      </c>
      <c r="V21" s="218">
        <f t="shared" si="10"/>
        <v>0</v>
      </c>
      <c r="W21" s="215">
        <f>+SUM(C21:V21)</f>
        <v>23334520011</v>
      </c>
      <c r="X21" s="216"/>
    </row>
    <row r="22" spans="2:24" ht="16.5" customHeight="1" x14ac:dyDescent="0.3">
      <c r="B22" s="208" t="s">
        <v>112</v>
      </c>
      <c r="C22" s="221">
        <f t="shared" ref="C22:Q22" si="11">SUM(C19:C21)</f>
        <v>23334520011</v>
      </c>
      <c r="D22" s="221">
        <f t="shared" si="11"/>
        <v>35053948800</v>
      </c>
      <c r="E22" s="221">
        <f t="shared" si="11"/>
        <v>36105567264</v>
      </c>
      <c r="F22" s="221">
        <f t="shared" si="11"/>
        <v>37188734281.919998</v>
      </c>
      <c r="G22" s="221">
        <f t="shared" si="11"/>
        <v>38304396310.377602</v>
      </c>
      <c r="H22" s="221">
        <f t="shared" si="11"/>
        <v>39453528199.688927</v>
      </c>
      <c r="I22" s="221">
        <f t="shared" si="11"/>
        <v>40637134045.679596</v>
      </c>
      <c r="J22" s="221">
        <f t="shared" si="11"/>
        <v>41856248067.049988</v>
      </c>
      <c r="K22" s="221">
        <f t="shared" si="11"/>
        <v>43111935509.061493</v>
      </c>
      <c r="L22" s="221">
        <f t="shared" si="11"/>
        <v>44405293574.333336</v>
      </c>
      <c r="M22" s="221">
        <f t="shared" si="11"/>
        <v>45737452381.563332</v>
      </c>
      <c r="N22" s="221">
        <f t="shared" si="11"/>
        <v>47109575953.010231</v>
      </c>
      <c r="O22" s="221">
        <f t="shared" si="11"/>
        <v>48522863231.60054</v>
      </c>
      <c r="P22" s="221">
        <f t="shared" si="11"/>
        <v>49978549128.548561</v>
      </c>
      <c r="Q22" s="221">
        <f t="shared" si="11"/>
        <v>51477905602.405022</v>
      </c>
      <c r="R22" s="222">
        <f>IF(CONTROL!$C$12=2,SUM(R19:R21),0)</f>
        <v>53022242770.477173</v>
      </c>
      <c r="S22" s="222">
        <f>IF(CONTROL!$C$12=2,SUM(S19:S21),0)</f>
        <v>54612910053.591492</v>
      </c>
      <c r="T22" s="222">
        <f>IF(CONTROL!$C$12=2,SUM(T19:T21),0)</f>
        <v>56251297355.199234</v>
      </c>
      <c r="U22" s="222">
        <f>IF(CONTROL!$C$12=2,SUM(U19:U21),0)</f>
        <v>57938836275.855217</v>
      </c>
      <c r="V22" s="222">
        <f>IF(CONTROL!$C$12=2,SUM(V19:V21),0)</f>
        <v>59677001364.130875</v>
      </c>
      <c r="W22" s="223">
        <f>SUM(W19:W21)</f>
        <v>903779940179.49255</v>
      </c>
      <c r="X22" s="216"/>
    </row>
    <row r="23" spans="2:24" ht="14.25" customHeight="1" x14ac:dyDescent="0.3">
      <c r="C23" s="224"/>
      <c r="D23" s="224"/>
      <c r="E23" s="224"/>
      <c r="F23" s="224"/>
      <c r="G23" s="224"/>
      <c r="H23" s="224"/>
      <c r="I23" s="224"/>
      <c r="J23" s="224"/>
      <c r="K23" s="224"/>
      <c r="L23" s="224"/>
      <c r="M23" s="224"/>
      <c r="N23" s="224"/>
      <c r="O23" s="224"/>
      <c r="P23" s="224"/>
      <c r="Q23" s="224"/>
      <c r="R23" s="224"/>
      <c r="S23" s="224"/>
      <c r="T23" s="224"/>
      <c r="U23" s="224"/>
      <c r="V23" s="224"/>
      <c r="W23" s="225"/>
    </row>
    <row r="24" spans="2:24" ht="16.5" customHeight="1" x14ac:dyDescent="0.3">
      <c r="B24" s="208" t="s">
        <v>113</v>
      </c>
      <c r="C24" s="226"/>
      <c r="D24" s="227"/>
      <c r="E24" s="227"/>
      <c r="F24" s="227"/>
      <c r="G24" s="227"/>
      <c r="H24" s="227"/>
      <c r="I24" s="227"/>
      <c r="J24" s="227"/>
      <c r="K24" s="227"/>
      <c r="L24" s="227"/>
      <c r="M24" s="227"/>
      <c r="N24" s="227"/>
      <c r="O24" s="227"/>
      <c r="P24" s="227"/>
      <c r="Q24" s="227"/>
      <c r="R24" s="227"/>
      <c r="S24" s="227"/>
      <c r="T24" s="227"/>
      <c r="U24" s="227"/>
      <c r="V24" s="227"/>
      <c r="W24" s="228"/>
    </row>
    <row r="25" spans="2:24" ht="13.5" customHeight="1" x14ac:dyDescent="0.3">
      <c r="B25" s="229" t="s">
        <v>54</v>
      </c>
      <c r="C25" s="230">
        <f t="shared" ref="C25:V25" si="12">+C80</f>
        <v>2124213660</v>
      </c>
      <c r="D25" s="230">
        <f t="shared" si="12"/>
        <v>2124213660</v>
      </c>
      <c r="E25" s="230">
        <f t="shared" si="12"/>
        <v>3540356100</v>
      </c>
      <c r="F25" s="230">
        <f t="shared" si="12"/>
        <v>7080712200</v>
      </c>
      <c r="G25" s="230">
        <f t="shared" si="12"/>
        <v>7080712200</v>
      </c>
      <c r="H25" s="230">
        <f t="shared" si="12"/>
        <v>7080712200</v>
      </c>
      <c r="I25" s="230">
        <f t="shared" si="12"/>
        <v>7080712200</v>
      </c>
      <c r="J25" s="230">
        <f t="shared" si="12"/>
        <v>7080712200</v>
      </c>
      <c r="K25" s="230">
        <f t="shared" si="12"/>
        <v>7080712200</v>
      </c>
      <c r="L25" s="230">
        <f t="shared" si="12"/>
        <v>7080712200</v>
      </c>
      <c r="M25" s="230">
        <f t="shared" si="12"/>
        <v>7080712200</v>
      </c>
      <c r="N25" s="230">
        <f t="shared" si="12"/>
        <v>7080712200</v>
      </c>
      <c r="O25" s="230">
        <f t="shared" si="12"/>
        <v>7080712200</v>
      </c>
      <c r="P25" s="230">
        <f t="shared" si="12"/>
        <v>7080712200</v>
      </c>
      <c r="Q25" s="230">
        <f t="shared" si="12"/>
        <v>7080712200</v>
      </c>
      <c r="R25" s="230">
        <f t="shared" si="12"/>
        <v>7080712200</v>
      </c>
      <c r="S25" s="230">
        <f t="shared" si="12"/>
        <v>7080712200</v>
      </c>
      <c r="T25" s="230">
        <f t="shared" si="12"/>
        <v>7080712200</v>
      </c>
      <c r="U25" s="230">
        <f t="shared" si="12"/>
        <v>7080712200</v>
      </c>
      <c r="V25" s="230">
        <f t="shared" si="12"/>
        <v>7080712200</v>
      </c>
      <c r="W25" s="213">
        <f t="shared" ref="W25:W31" si="13">+SUM(C25:V25)</f>
        <v>128160890820</v>
      </c>
      <c r="X25" s="216"/>
    </row>
    <row r="26" spans="2:24" ht="12.75" customHeight="1" x14ac:dyDescent="0.3">
      <c r="B26" s="217" t="s">
        <v>57</v>
      </c>
      <c r="C26" s="219">
        <f t="shared" ref="C26:V26" si="14">+C81</f>
        <v>524497200</v>
      </c>
      <c r="D26" s="219">
        <f t="shared" si="14"/>
        <v>524497200</v>
      </c>
      <c r="E26" s="219">
        <f t="shared" si="14"/>
        <v>524497200</v>
      </c>
      <c r="F26" s="219">
        <f t="shared" si="14"/>
        <v>524497200</v>
      </c>
      <c r="G26" s="219">
        <f t="shared" si="14"/>
        <v>524497200</v>
      </c>
      <c r="H26" s="219">
        <f t="shared" si="14"/>
        <v>524497200</v>
      </c>
      <c r="I26" s="219">
        <f t="shared" si="14"/>
        <v>524497200</v>
      </c>
      <c r="J26" s="219">
        <f t="shared" si="14"/>
        <v>524497200</v>
      </c>
      <c r="K26" s="219">
        <f t="shared" si="14"/>
        <v>524497200</v>
      </c>
      <c r="L26" s="219">
        <f t="shared" si="14"/>
        <v>524497200</v>
      </c>
      <c r="M26" s="219">
        <f t="shared" si="14"/>
        <v>524497200</v>
      </c>
      <c r="N26" s="219">
        <f t="shared" si="14"/>
        <v>524497200</v>
      </c>
      <c r="O26" s="219">
        <f t="shared" si="14"/>
        <v>524497200</v>
      </c>
      <c r="P26" s="219">
        <f t="shared" si="14"/>
        <v>524497200</v>
      </c>
      <c r="Q26" s="219">
        <f t="shared" si="14"/>
        <v>524497200</v>
      </c>
      <c r="R26" s="219">
        <f t="shared" si="14"/>
        <v>524497200</v>
      </c>
      <c r="S26" s="219">
        <f t="shared" si="14"/>
        <v>524497200</v>
      </c>
      <c r="T26" s="219">
        <f t="shared" si="14"/>
        <v>524497200</v>
      </c>
      <c r="U26" s="219">
        <f t="shared" si="14"/>
        <v>524497200</v>
      </c>
      <c r="V26" s="219">
        <f t="shared" si="14"/>
        <v>524497200</v>
      </c>
      <c r="W26" s="215">
        <f t="shared" si="13"/>
        <v>10489944000</v>
      </c>
      <c r="X26" s="216"/>
    </row>
    <row r="27" spans="2:24" s="5" customFormat="1" ht="12.75" customHeight="1" x14ac:dyDescent="0.3">
      <c r="B27" s="217" t="s">
        <v>58</v>
      </c>
      <c r="C27" s="219">
        <f t="shared" ref="C27:V27" si="15">+C82</f>
        <v>1346800000</v>
      </c>
      <c r="D27" s="219">
        <f t="shared" si="15"/>
        <v>1346800000</v>
      </c>
      <c r="E27" s="219">
        <f t="shared" si="15"/>
        <v>1346800000</v>
      </c>
      <c r="F27" s="219">
        <f t="shared" si="15"/>
        <v>1346800000</v>
      </c>
      <c r="G27" s="219">
        <f t="shared" si="15"/>
        <v>1346800000</v>
      </c>
      <c r="H27" s="219">
        <f t="shared" si="15"/>
        <v>1346800000</v>
      </c>
      <c r="I27" s="219">
        <f t="shared" si="15"/>
        <v>1346800000</v>
      </c>
      <c r="J27" s="219">
        <f t="shared" si="15"/>
        <v>1346800000</v>
      </c>
      <c r="K27" s="219">
        <f t="shared" si="15"/>
        <v>1346800000</v>
      </c>
      <c r="L27" s="219">
        <f t="shared" si="15"/>
        <v>1346800000</v>
      </c>
      <c r="M27" s="219">
        <f t="shared" si="15"/>
        <v>1346800000</v>
      </c>
      <c r="N27" s="219">
        <f t="shared" si="15"/>
        <v>1346800000</v>
      </c>
      <c r="O27" s="219">
        <f t="shared" si="15"/>
        <v>1346800000</v>
      </c>
      <c r="P27" s="219">
        <f t="shared" si="15"/>
        <v>1346800000</v>
      </c>
      <c r="Q27" s="219">
        <f t="shared" si="15"/>
        <v>1346800000</v>
      </c>
      <c r="R27" s="219">
        <f t="shared" si="15"/>
        <v>1346800000</v>
      </c>
      <c r="S27" s="219">
        <f t="shared" si="15"/>
        <v>1346800000</v>
      </c>
      <c r="T27" s="219">
        <f t="shared" si="15"/>
        <v>1346800000</v>
      </c>
      <c r="U27" s="219">
        <f t="shared" si="15"/>
        <v>1346800000</v>
      </c>
      <c r="V27" s="219">
        <f t="shared" si="15"/>
        <v>1346800000</v>
      </c>
      <c r="W27" s="215">
        <f t="shared" si="13"/>
        <v>26936000000</v>
      </c>
      <c r="X27" s="216"/>
    </row>
    <row r="28" spans="2:24" s="187" customFormat="1" ht="12.75" customHeight="1" x14ac:dyDescent="0.3">
      <c r="B28" s="217" t="s">
        <v>59</v>
      </c>
      <c r="C28" s="219">
        <f t="shared" ref="C28:V28" si="16">+C83</f>
        <v>1598400000</v>
      </c>
      <c r="D28" s="219">
        <f t="shared" si="16"/>
        <v>1598400000</v>
      </c>
      <c r="E28" s="219">
        <f t="shared" si="16"/>
        <v>1598400000</v>
      </c>
      <c r="F28" s="219">
        <f t="shared" si="16"/>
        <v>1598400000</v>
      </c>
      <c r="G28" s="219">
        <f t="shared" si="16"/>
        <v>1598400000</v>
      </c>
      <c r="H28" s="219">
        <f t="shared" si="16"/>
        <v>1598400000</v>
      </c>
      <c r="I28" s="219">
        <f t="shared" si="16"/>
        <v>1598400000</v>
      </c>
      <c r="J28" s="219">
        <f t="shared" si="16"/>
        <v>1598400000</v>
      </c>
      <c r="K28" s="219">
        <f t="shared" si="16"/>
        <v>1598400000</v>
      </c>
      <c r="L28" s="219">
        <f t="shared" si="16"/>
        <v>1598400000</v>
      </c>
      <c r="M28" s="219">
        <f t="shared" si="16"/>
        <v>1598400000</v>
      </c>
      <c r="N28" s="219">
        <f t="shared" si="16"/>
        <v>1598400000</v>
      </c>
      <c r="O28" s="219">
        <f t="shared" si="16"/>
        <v>1598400000</v>
      </c>
      <c r="P28" s="219">
        <f t="shared" si="16"/>
        <v>1598400000</v>
      </c>
      <c r="Q28" s="219">
        <f t="shared" si="16"/>
        <v>1598400000</v>
      </c>
      <c r="R28" s="219">
        <f t="shared" si="16"/>
        <v>1598400000</v>
      </c>
      <c r="S28" s="219">
        <f t="shared" si="16"/>
        <v>1598400000</v>
      </c>
      <c r="T28" s="219">
        <f t="shared" si="16"/>
        <v>1598400000</v>
      </c>
      <c r="U28" s="219">
        <f t="shared" si="16"/>
        <v>1598400000</v>
      </c>
      <c r="V28" s="219">
        <f t="shared" si="16"/>
        <v>1598400000</v>
      </c>
      <c r="W28" s="215">
        <f t="shared" si="13"/>
        <v>31968000000</v>
      </c>
      <c r="X28" s="216"/>
    </row>
    <row r="29" spans="2:24" s="187" customFormat="1" ht="15" customHeight="1" x14ac:dyDescent="0.3">
      <c r="B29" s="217" t="s">
        <v>114</v>
      </c>
      <c r="C29" s="219">
        <f t="shared" ref="C29:V29" si="17">+C84</f>
        <v>0</v>
      </c>
      <c r="D29" s="219">
        <f t="shared" si="17"/>
        <v>5793347297.1925392</v>
      </c>
      <c r="E29" s="219">
        <f t="shared" si="17"/>
        <v>5560002097.0825396</v>
      </c>
      <c r="F29" s="219">
        <f t="shared" si="17"/>
        <v>5560002097.0825396</v>
      </c>
      <c r="G29" s="219">
        <f t="shared" si="17"/>
        <v>5560002097.0825396</v>
      </c>
      <c r="H29" s="219">
        <f t="shared" si="17"/>
        <v>5560002097.0825396</v>
      </c>
      <c r="I29" s="219">
        <f t="shared" si="17"/>
        <v>5560002097.0825396</v>
      </c>
      <c r="J29" s="219" t="str">
        <f t="shared" si="17"/>
        <v/>
      </c>
      <c r="K29" s="219" t="str">
        <f t="shared" si="17"/>
        <v/>
      </c>
      <c r="L29" s="219" t="str">
        <f t="shared" si="17"/>
        <v/>
      </c>
      <c r="M29" s="219" t="str">
        <f t="shared" si="17"/>
        <v/>
      </c>
      <c r="N29" s="219" t="str">
        <f t="shared" si="17"/>
        <v/>
      </c>
      <c r="O29" s="219" t="str">
        <f t="shared" si="17"/>
        <v/>
      </c>
      <c r="P29" s="219" t="str">
        <f t="shared" si="17"/>
        <v/>
      </c>
      <c r="Q29" s="219" t="str">
        <f t="shared" si="17"/>
        <v/>
      </c>
      <c r="R29" s="219" t="str">
        <f t="shared" si="17"/>
        <v/>
      </c>
      <c r="S29" s="219" t="str">
        <f t="shared" si="17"/>
        <v/>
      </c>
      <c r="T29" s="219" t="str">
        <f t="shared" si="17"/>
        <v/>
      </c>
      <c r="U29" s="219" t="str">
        <f t="shared" si="17"/>
        <v/>
      </c>
      <c r="V29" s="219" t="str">
        <f t="shared" si="17"/>
        <v/>
      </c>
      <c r="W29" s="215">
        <f t="shared" si="13"/>
        <v>33593357782.605232</v>
      </c>
      <c r="X29" s="216"/>
    </row>
    <row r="30" spans="2:24" s="187" customFormat="1" ht="13.5" customHeight="1" x14ac:dyDescent="0.3">
      <c r="B30" s="231" t="s">
        <v>31</v>
      </c>
      <c r="C30" s="232">
        <f t="shared" ref="C30:V30" si="18">+SUM(C85:C90)</f>
        <v>742847694.89563644</v>
      </c>
      <c r="D30" s="232">
        <f t="shared" si="18"/>
        <v>6049837958.8249912</v>
      </c>
      <c r="E30" s="232">
        <f t="shared" si="18"/>
        <v>10179366066.81078</v>
      </c>
      <c r="F30" s="232">
        <f t="shared" si="18"/>
        <v>7471732987.140254</v>
      </c>
      <c r="G30" s="232">
        <f t="shared" si="18"/>
        <v>9239311366.2673054</v>
      </c>
      <c r="H30" s="232">
        <f t="shared" si="18"/>
        <v>8261994887.8787212</v>
      </c>
      <c r="I30" s="232">
        <f t="shared" si="18"/>
        <v>7584214463.6044006</v>
      </c>
      <c r="J30" s="232">
        <f t="shared" si="18"/>
        <v>7934871693.8132286</v>
      </c>
      <c r="K30" s="232">
        <f t="shared" si="18"/>
        <v>9288085509.8380547</v>
      </c>
      <c r="L30" s="232">
        <f t="shared" si="18"/>
        <v>11972472048.883566</v>
      </c>
      <c r="M30" s="232">
        <f t="shared" si="18"/>
        <v>12620867870.050854</v>
      </c>
      <c r="N30" s="232">
        <f t="shared" si="18"/>
        <v>13288715565.853165</v>
      </c>
      <c r="O30" s="232">
        <f t="shared" si="18"/>
        <v>13976598692.529543</v>
      </c>
      <c r="P30" s="232">
        <f t="shared" si="18"/>
        <v>14685118313.006214</v>
      </c>
      <c r="Q30" s="232">
        <f t="shared" si="18"/>
        <v>15414893522.097189</v>
      </c>
      <c r="R30" s="232">
        <f t="shared" si="18"/>
        <v>16166561987.460886</v>
      </c>
      <c r="S30" s="232">
        <f t="shared" si="18"/>
        <v>16849183139.368145</v>
      </c>
      <c r="T30" s="232">
        <f t="shared" si="18"/>
        <v>17402368567.826206</v>
      </c>
      <c r="U30" s="232">
        <f t="shared" si="18"/>
        <v>17674152790.47356</v>
      </c>
      <c r="V30" s="232">
        <f t="shared" si="18"/>
        <v>17054604391.7619</v>
      </c>
      <c r="W30" s="233">
        <f t="shared" si="13"/>
        <v>233857799518.38458</v>
      </c>
      <c r="X30" s="234"/>
    </row>
    <row r="31" spans="2:24" s="5" customFormat="1" ht="16.5" customHeight="1" x14ac:dyDescent="0.3">
      <c r="B31" s="208" t="s">
        <v>115</v>
      </c>
      <c r="C31" s="221">
        <f t="shared" ref="C31:Q31" si="19">SUM(C25:C30)</f>
        <v>6336758554.8956366</v>
      </c>
      <c r="D31" s="221">
        <f t="shared" si="19"/>
        <v>17437096116.017532</v>
      </c>
      <c r="E31" s="221">
        <f t="shared" si="19"/>
        <v>22749421463.893318</v>
      </c>
      <c r="F31" s="221">
        <f t="shared" si="19"/>
        <v>23582144484.222794</v>
      </c>
      <c r="G31" s="221">
        <f t="shared" si="19"/>
        <v>25349722863.349846</v>
      </c>
      <c r="H31" s="221">
        <f t="shared" si="19"/>
        <v>24372406384.961258</v>
      </c>
      <c r="I31" s="221">
        <f t="shared" si="19"/>
        <v>23694625960.686939</v>
      </c>
      <c r="J31" s="221">
        <f t="shared" si="19"/>
        <v>18485281093.813229</v>
      </c>
      <c r="K31" s="221">
        <f t="shared" si="19"/>
        <v>19838494909.838055</v>
      </c>
      <c r="L31" s="221">
        <f t="shared" si="19"/>
        <v>22522881448.883568</v>
      </c>
      <c r="M31" s="221">
        <f t="shared" si="19"/>
        <v>23171277270.050854</v>
      </c>
      <c r="N31" s="221">
        <f t="shared" si="19"/>
        <v>23839124965.853165</v>
      </c>
      <c r="O31" s="221">
        <f t="shared" si="19"/>
        <v>24527008092.529541</v>
      </c>
      <c r="P31" s="221">
        <f t="shared" si="19"/>
        <v>25235527713.006214</v>
      </c>
      <c r="Q31" s="221">
        <f t="shared" si="19"/>
        <v>25965302922.097191</v>
      </c>
      <c r="R31" s="222">
        <f>IF(CONTROL!$C$12=2,SUM(R25:R30),0)</f>
        <v>26716971387.460884</v>
      </c>
      <c r="S31" s="222">
        <f>IF(CONTROL!$C$12=2,SUM(S25:S30),0)</f>
        <v>27399592539.368145</v>
      </c>
      <c r="T31" s="222">
        <f>IF(CONTROL!$C$12=2,SUM(T25:T30),0)</f>
        <v>27952777967.826206</v>
      </c>
      <c r="U31" s="222">
        <f>IF(CONTROL!$C$12=2,SUM(U25:U30),0)</f>
        <v>28224562190.47356</v>
      </c>
      <c r="V31" s="222">
        <f>IF(CONTROL!$C$12=2,SUM(V25:V30),0)</f>
        <v>27605013791.761902</v>
      </c>
      <c r="W31" s="235">
        <f t="shared" si="13"/>
        <v>465005992120.98987</v>
      </c>
      <c r="X31" s="225"/>
    </row>
    <row r="32" spans="2:24" s="5" customFormat="1" ht="14.25" customHeight="1" x14ac:dyDescent="0.3">
      <c r="B32" s="188"/>
      <c r="C32" s="224"/>
      <c r="D32" s="224"/>
      <c r="E32" s="224"/>
      <c r="F32" s="224"/>
      <c r="G32" s="224"/>
      <c r="H32" s="224"/>
      <c r="I32" s="224"/>
      <c r="J32" s="224"/>
      <c r="K32" s="224"/>
      <c r="L32" s="224"/>
      <c r="M32" s="224"/>
      <c r="N32" s="224"/>
      <c r="O32" s="224"/>
      <c r="P32" s="224"/>
      <c r="Q32" s="224"/>
      <c r="R32" s="224"/>
      <c r="S32" s="224"/>
      <c r="T32" s="224"/>
      <c r="U32" s="224"/>
      <c r="V32" s="224"/>
      <c r="W32" s="225"/>
    </row>
    <row r="33" spans="2:24" s="187" customFormat="1" ht="16.5" customHeight="1" x14ac:dyDescent="0.3">
      <c r="B33" s="208" t="s">
        <v>116</v>
      </c>
      <c r="C33" s="221">
        <f t="shared" ref="C33:V33" si="20">C22-C31-C41</f>
        <v>16897761456.104362</v>
      </c>
      <c r="D33" s="221">
        <f t="shared" si="20"/>
        <v>17516852683.982468</v>
      </c>
      <c r="E33" s="221">
        <f t="shared" si="20"/>
        <v>13256145800.106682</v>
      </c>
      <c r="F33" s="221">
        <f t="shared" si="20"/>
        <v>13506589797.697205</v>
      </c>
      <c r="G33" s="221">
        <f t="shared" si="20"/>
        <v>12854673447.027756</v>
      </c>
      <c r="H33" s="221">
        <f t="shared" si="20"/>
        <v>14981121814.727669</v>
      </c>
      <c r="I33" s="221">
        <f t="shared" si="20"/>
        <v>16842508084.992657</v>
      </c>
      <c r="J33" s="221">
        <f t="shared" si="20"/>
        <v>23270966973.236759</v>
      </c>
      <c r="K33" s="221">
        <f t="shared" si="20"/>
        <v>23173440599.223438</v>
      </c>
      <c r="L33" s="221">
        <f t="shared" si="20"/>
        <v>21782412125.449768</v>
      </c>
      <c r="M33" s="221">
        <f t="shared" si="20"/>
        <v>22466175111.512478</v>
      </c>
      <c r="N33" s="221">
        <f t="shared" si="20"/>
        <v>23170450987.157066</v>
      </c>
      <c r="O33" s="221">
        <f t="shared" si="20"/>
        <v>23895855139.070999</v>
      </c>
      <c r="P33" s="221">
        <f t="shared" si="20"/>
        <v>24643021415.542347</v>
      </c>
      <c r="Q33" s="221">
        <f t="shared" si="20"/>
        <v>25412602680.307831</v>
      </c>
      <c r="R33" s="221">
        <f t="shared" si="20"/>
        <v>26205271383.016289</v>
      </c>
      <c r="S33" s="221">
        <f t="shared" si="20"/>
        <v>27113317514.223347</v>
      </c>
      <c r="T33" s="221">
        <f t="shared" si="20"/>
        <v>28198519387.373028</v>
      </c>
      <c r="U33" s="221">
        <f t="shared" si="20"/>
        <v>29614274085.381657</v>
      </c>
      <c r="V33" s="221">
        <f t="shared" si="20"/>
        <v>31971987572.368973</v>
      </c>
      <c r="W33" s="223">
        <f>+SUM(C33:V33)</f>
        <v>436773948058.50281</v>
      </c>
      <c r="X33" s="216"/>
    </row>
    <row r="34" spans="2:24" s="187" customFormat="1" ht="16.5" customHeight="1" x14ac:dyDescent="0.3">
      <c r="B34" s="236"/>
      <c r="C34" s="237"/>
      <c r="D34" s="237"/>
      <c r="E34" s="237"/>
      <c r="F34" s="237"/>
      <c r="G34" s="237"/>
      <c r="H34" s="237"/>
      <c r="I34" s="237"/>
      <c r="J34" s="237"/>
      <c r="K34" s="237"/>
      <c r="L34" s="237"/>
      <c r="M34" s="237"/>
      <c r="N34" s="237"/>
      <c r="O34" s="237"/>
      <c r="P34" s="237"/>
      <c r="Q34" s="237"/>
      <c r="R34" s="237"/>
      <c r="S34" s="237"/>
      <c r="T34" s="237"/>
      <c r="U34" s="237"/>
      <c r="V34" s="237"/>
      <c r="W34" s="225"/>
    </row>
    <row r="35" spans="2:24" s="187" customFormat="1" ht="16.5" customHeight="1" x14ac:dyDescent="0.3">
      <c r="B35" s="208" t="s">
        <v>117</v>
      </c>
      <c r="C35" s="226"/>
      <c r="D35" s="227"/>
      <c r="E35" s="227"/>
      <c r="F35" s="227"/>
      <c r="G35" s="227"/>
      <c r="H35" s="227"/>
      <c r="I35" s="227"/>
      <c r="J35" s="227"/>
      <c r="K35" s="227"/>
      <c r="L35" s="227"/>
      <c r="M35" s="227"/>
      <c r="N35" s="227"/>
      <c r="O35" s="227"/>
      <c r="P35" s="227"/>
      <c r="Q35" s="227"/>
      <c r="R35" s="227"/>
      <c r="S35" s="227"/>
      <c r="T35" s="227"/>
      <c r="U35" s="227"/>
      <c r="V35" s="227"/>
      <c r="W35" s="228"/>
    </row>
    <row r="36" spans="2:24" s="187" customFormat="1" ht="13.5" customHeight="1" x14ac:dyDescent="0.3">
      <c r="B36" s="217" t="s">
        <v>118</v>
      </c>
      <c r="C36" s="230">
        <f t="shared" ref="C36:V36" si="21">+C94</f>
        <v>19772430000</v>
      </c>
      <c r="D36" s="230">
        <f t="shared" si="21"/>
        <v>0</v>
      </c>
      <c r="E36" s="230">
        <f t="shared" si="21"/>
        <v>0</v>
      </c>
      <c r="F36" s="230">
        <f t="shared" si="21"/>
        <v>0</v>
      </c>
      <c r="G36" s="230">
        <f t="shared" si="21"/>
        <v>0</v>
      </c>
      <c r="H36" s="230">
        <f t="shared" si="21"/>
        <v>0</v>
      </c>
      <c r="I36" s="230">
        <f t="shared" si="21"/>
        <v>0</v>
      </c>
      <c r="J36" s="230">
        <f t="shared" si="21"/>
        <v>0</v>
      </c>
      <c r="K36" s="230">
        <f t="shared" si="21"/>
        <v>0</v>
      </c>
      <c r="L36" s="230">
        <f t="shared" si="21"/>
        <v>0</v>
      </c>
      <c r="M36" s="230">
        <f t="shared" si="21"/>
        <v>0</v>
      </c>
      <c r="N36" s="230">
        <f t="shared" si="21"/>
        <v>0</v>
      </c>
      <c r="O36" s="230">
        <f t="shared" si="21"/>
        <v>0</v>
      </c>
      <c r="P36" s="230">
        <f t="shared" si="21"/>
        <v>0</v>
      </c>
      <c r="Q36" s="230">
        <f t="shared" si="21"/>
        <v>0</v>
      </c>
      <c r="R36" s="230">
        <f t="shared" si="21"/>
        <v>0</v>
      </c>
      <c r="S36" s="230">
        <f t="shared" si="21"/>
        <v>0</v>
      </c>
      <c r="T36" s="230">
        <f t="shared" si="21"/>
        <v>0</v>
      </c>
      <c r="U36" s="230">
        <f t="shared" si="21"/>
        <v>0</v>
      </c>
      <c r="V36" s="230">
        <f t="shared" si="21"/>
        <v>0</v>
      </c>
      <c r="W36" s="215">
        <f>+SUM(C36:V36)</f>
        <v>19772430000</v>
      </c>
    </row>
    <row r="37" spans="2:24" s="5" customFormat="1" ht="12.75" customHeight="1" x14ac:dyDescent="0.3">
      <c r="B37" s="217" t="s">
        <v>48</v>
      </c>
      <c r="C37" s="219">
        <f t="shared" ref="C37:V37" si="22">+C95</f>
        <v>0</v>
      </c>
      <c r="D37" s="219">
        <f t="shared" si="22"/>
        <v>0</v>
      </c>
      <c r="E37" s="219">
        <f t="shared" si="22"/>
        <v>9990000000</v>
      </c>
      <c r="F37" s="219">
        <f t="shared" si="22"/>
        <v>16650000000</v>
      </c>
      <c r="G37" s="219">
        <f t="shared" si="22"/>
        <v>7400000000</v>
      </c>
      <c r="H37" s="219">
        <f t="shared" si="22"/>
        <v>11840000000</v>
      </c>
      <c r="I37" s="219">
        <f t="shared" si="22"/>
        <v>17760000000</v>
      </c>
      <c r="J37" s="219">
        <f t="shared" si="22"/>
        <v>17760000000</v>
      </c>
      <c r="K37" s="219">
        <f t="shared" si="22"/>
        <v>11840000000</v>
      </c>
      <c r="L37" s="219">
        <f t="shared" si="22"/>
        <v>0</v>
      </c>
      <c r="M37" s="219">
        <f t="shared" si="22"/>
        <v>0</v>
      </c>
      <c r="N37" s="219">
        <f t="shared" si="22"/>
        <v>0</v>
      </c>
      <c r="O37" s="219">
        <f t="shared" si="22"/>
        <v>0</v>
      </c>
      <c r="P37" s="219">
        <f t="shared" si="22"/>
        <v>0</v>
      </c>
      <c r="Q37" s="219">
        <f t="shared" si="22"/>
        <v>0</v>
      </c>
      <c r="R37" s="219">
        <f t="shared" si="22"/>
        <v>0</v>
      </c>
      <c r="S37" s="219">
        <f t="shared" si="22"/>
        <v>0</v>
      </c>
      <c r="T37" s="219">
        <f t="shared" si="22"/>
        <v>0</v>
      </c>
      <c r="U37" s="219">
        <f t="shared" si="22"/>
        <v>0</v>
      </c>
      <c r="V37" s="219">
        <f t="shared" si="22"/>
        <v>0</v>
      </c>
      <c r="W37" s="215">
        <f>+SUM(C37:V37)</f>
        <v>93240000000</v>
      </c>
    </row>
    <row r="38" spans="2:24" s="187" customFormat="1" ht="13.5" customHeight="1" x14ac:dyDescent="0.3">
      <c r="B38" s="217" t="s">
        <v>50</v>
      </c>
      <c r="C38" s="232">
        <f t="shared" ref="C38:V38" si="23">+C96</f>
        <v>0</v>
      </c>
      <c r="D38" s="232">
        <f t="shared" si="23"/>
        <v>6333303690.000001</v>
      </c>
      <c r="E38" s="232">
        <f t="shared" si="23"/>
        <v>6333303690.000001</v>
      </c>
      <c r="F38" s="232">
        <f t="shared" si="23"/>
        <v>6333303690.000001</v>
      </c>
      <c r="G38" s="232">
        <f t="shared" si="23"/>
        <v>6333303690.000001</v>
      </c>
      <c r="H38" s="232">
        <f t="shared" si="23"/>
        <v>6333303690.000001</v>
      </c>
      <c r="I38" s="232">
        <f t="shared" si="23"/>
        <v>6333303690.000001</v>
      </c>
      <c r="J38" s="232">
        <f t="shared" si="23"/>
        <v>6333303690.000001</v>
      </c>
      <c r="K38" s="232">
        <f t="shared" si="23"/>
        <v>6333303690.000001</v>
      </c>
      <c r="L38" s="232">
        <f t="shared" si="23"/>
        <v>6333303690.000001</v>
      </c>
      <c r="M38" s="232">
        <f t="shared" si="23"/>
        <v>6333303690.000001</v>
      </c>
      <c r="N38" s="232">
        <f t="shared" si="23"/>
        <v>6333303690.000001</v>
      </c>
      <c r="O38" s="232">
        <f t="shared" si="23"/>
        <v>6333303690.000001</v>
      </c>
      <c r="P38" s="232">
        <f t="shared" si="23"/>
        <v>6333303690.000001</v>
      </c>
      <c r="Q38" s="232">
        <f t="shared" si="23"/>
        <v>6333303690.000001</v>
      </c>
      <c r="R38" s="232">
        <f t="shared" si="23"/>
        <v>6333303690.000001</v>
      </c>
      <c r="S38" s="232">
        <f t="shared" si="23"/>
        <v>6333303690.000001</v>
      </c>
      <c r="T38" s="232">
        <f t="shared" si="23"/>
        <v>6333303690.000001</v>
      </c>
      <c r="U38" s="232">
        <f t="shared" si="23"/>
        <v>6333303690.000001</v>
      </c>
      <c r="V38" s="232">
        <f t="shared" si="23"/>
        <v>6333303690.000001</v>
      </c>
      <c r="W38" s="215">
        <f>+SUM(C38:V38)</f>
        <v>120332770110.00002</v>
      </c>
    </row>
    <row r="39" spans="2:24" s="5" customFormat="1" ht="16.5" customHeight="1" x14ac:dyDescent="0.3">
      <c r="B39" s="208" t="s">
        <v>119</v>
      </c>
      <c r="C39" s="221">
        <f t="shared" ref="C39:Q39" si="24">SUM(C36:C38)</f>
        <v>19772430000</v>
      </c>
      <c r="D39" s="221">
        <f t="shared" si="24"/>
        <v>6333303690.000001</v>
      </c>
      <c r="E39" s="221">
        <f t="shared" si="24"/>
        <v>16323303690</v>
      </c>
      <c r="F39" s="221">
        <f t="shared" si="24"/>
        <v>22983303690</v>
      </c>
      <c r="G39" s="221">
        <f t="shared" si="24"/>
        <v>13733303690</v>
      </c>
      <c r="H39" s="221">
        <f t="shared" si="24"/>
        <v>18173303690</v>
      </c>
      <c r="I39" s="221">
        <f t="shared" si="24"/>
        <v>24093303690</v>
      </c>
      <c r="J39" s="221">
        <f t="shared" si="24"/>
        <v>24093303690</v>
      </c>
      <c r="K39" s="221">
        <f t="shared" si="24"/>
        <v>18173303690</v>
      </c>
      <c r="L39" s="221">
        <f t="shared" si="24"/>
        <v>6333303690.000001</v>
      </c>
      <c r="M39" s="221">
        <f t="shared" si="24"/>
        <v>6333303690.000001</v>
      </c>
      <c r="N39" s="221">
        <f t="shared" si="24"/>
        <v>6333303690.000001</v>
      </c>
      <c r="O39" s="221">
        <f t="shared" si="24"/>
        <v>6333303690.000001</v>
      </c>
      <c r="P39" s="221">
        <f t="shared" si="24"/>
        <v>6333303690.000001</v>
      </c>
      <c r="Q39" s="221">
        <f t="shared" si="24"/>
        <v>6333303690.000001</v>
      </c>
      <c r="R39" s="222">
        <f>IF(CONTROL!$C$12=2,SUM(R36:R38),0)</f>
        <v>6333303690.000001</v>
      </c>
      <c r="S39" s="222">
        <f>IF(CONTROL!$C$12=2,SUM(S36:S38),0)</f>
        <v>6333303690.000001</v>
      </c>
      <c r="T39" s="222">
        <f>IF(CONTROL!$C$12=2,SUM(T36:T38),0)</f>
        <v>6333303690.000001</v>
      </c>
      <c r="U39" s="222">
        <f>IF(CONTROL!$C$12=2,SUM(U36:U38),0)</f>
        <v>6333303690.000001</v>
      </c>
      <c r="V39" s="222">
        <f>IF(CONTROL!$C$12=2,SUM(V36:V38),0)</f>
        <v>6333303690.000001</v>
      </c>
      <c r="W39" s="223">
        <f>+SUM(C39:V39)</f>
        <v>233345200110</v>
      </c>
      <c r="X39" s="225"/>
    </row>
    <row r="40" spans="2:24" s="5" customFormat="1" ht="14.25" customHeight="1" x14ac:dyDescent="0.3">
      <c r="B40" s="238"/>
      <c r="C40" s="239"/>
      <c r="D40" s="239"/>
      <c r="E40" s="239"/>
      <c r="F40" s="239"/>
      <c r="G40" s="239"/>
      <c r="H40" s="239"/>
      <c r="I40" s="239"/>
      <c r="J40" s="239"/>
      <c r="K40" s="239"/>
      <c r="L40" s="239"/>
      <c r="M40" s="239"/>
      <c r="N40" s="239"/>
      <c r="O40" s="239"/>
      <c r="P40" s="239"/>
      <c r="Q40" s="240"/>
      <c r="R40" s="240"/>
      <c r="S40" s="240"/>
      <c r="T40" s="240"/>
      <c r="U40" s="240"/>
      <c r="V40" s="240"/>
      <c r="W40" s="241"/>
    </row>
    <row r="41" spans="2:24" s="5" customFormat="1" ht="16.5" customHeight="1" x14ac:dyDescent="0.3">
      <c r="B41" s="208" t="s">
        <v>120</v>
      </c>
      <c r="C41" s="221">
        <f t="shared" ref="C41:V41" si="25">+C99</f>
        <v>100000000</v>
      </c>
      <c r="D41" s="221">
        <f t="shared" si="25"/>
        <v>100000000</v>
      </c>
      <c r="E41" s="221">
        <f t="shared" si="25"/>
        <v>100000000</v>
      </c>
      <c r="F41" s="221">
        <f t="shared" si="25"/>
        <v>100000000</v>
      </c>
      <c r="G41" s="221">
        <f t="shared" si="25"/>
        <v>100000000</v>
      </c>
      <c r="H41" s="221">
        <f t="shared" si="25"/>
        <v>100000000</v>
      </c>
      <c r="I41" s="221">
        <f t="shared" si="25"/>
        <v>100000000</v>
      </c>
      <c r="J41" s="221">
        <f t="shared" si="25"/>
        <v>100000000</v>
      </c>
      <c r="K41" s="221">
        <f t="shared" si="25"/>
        <v>100000000</v>
      </c>
      <c r="L41" s="221">
        <f t="shared" si="25"/>
        <v>100000000</v>
      </c>
      <c r="M41" s="221">
        <f t="shared" si="25"/>
        <v>100000000</v>
      </c>
      <c r="N41" s="221">
        <f t="shared" si="25"/>
        <v>100000000</v>
      </c>
      <c r="O41" s="221">
        <f t="shared" si="25"/>
        <v>100000000</v>
      </c>
      <c r="P41" s="221">
        <f t="shared" si="25"/>
        <v>100000000</v>
      </c>
      <c r="Q41" s="221">
        <f t="shared" si="25"/>
        <v>100000000</v>
      </c>
      <c r="R41" s="221">
        <f t="shared" si="25"/>
        <v>100000000</v>
      </c>
      <c r="S41" s="221">
        <f t="shared" si="25"/>
        <v>100000000</v>
      </c>
      <c r="T41" s="221">
        <f t="shared" si="25"/>
        <v>100000000</v>
      </c>
      <c r="U41" s="221">
        <f t="shared" si="25"/>
        <v>100000000</v>
      </c>
      <c r="V41" s="221">
        <f t="shared" si="25"/>
        <v>100000000</v>
      </c>
      <c r="W41" s="223">
        <f>+SUM(C41:V41)</f>
        <v>2000000000</v>
      </c>
      <c r="X41" s="225"/>
    </row>
    <row r="42" spans="2:24" s="5" customFormat="1" ht="14.25" customHeight="1" x14ac:dyDescent="0.3">
      <c r="B42" s="238"/>
      <c r="C42" s="239"/>
      <c r="D42" s="239"/>
      <c r="E42" s="239"/>
      <c r="F42" s="239"/>
      <c r="G42" s="239"/>
      <c r="H42" s="239"/>
      <c r="I42" s="239"/>
      <c r="J42" s="239"/>
      <c r="K42" s="239"/>
      <c r="L42" s="239"/>
      <c r="M42" s="239"/>
      <c r="N42" s="239"/>
      <c r="O42" s="239"/>
      <c r="P42" s="239"/>
      <c r="Q42" s="239"/>
      <c r="R42" s="239"/>
      <c r="S42" s="239"/>
      <c r="T42" s="239"/>
      <c r="U42" s="239"/>
      <c r="V42" s="239"/>
      <c r="W42" s="225"/>
    </row>
    <row r="43" spans="2:24" s="187" customFormat="1" ht="16.5" customHeight="1" x14ac:dyDescent="0.3">
      <c r="B43" s="208" t="s">
        <v>121</v>
      </c>
      <c r="C43" s="221">
        <f t="shared" ref="C43:W43" si="26">+C31+C39+C41</f>
        <v>26209188554.895638</v>
      </c>
      <c r="D43" s="221">
        <f t="shared" si="26"/>
        <v>23870399806.017532</v>
      </c>
      <c r="E43" s="221">
        <f t="shared" si="26"/>
        <v>39172725153.893318</v>
      </c>
      <c r="F43" s="221">
        <f t="shared" si="26"/>
        <v>46665448174.222794</v>
      </c>
      <c r="G43" s="221">
        <f t="shared" si="26"/>
        <v>39183026553.349846</v>
      </c>
      <c r="H43" s="221">
        <f t="shared" si="26"/>
        <v>42645710074.961258</v>
      </c>
      <c r="I43" s="221">
        <f t="shared" si="26"/>
        <v>47887929650.686935</v>
      </c>
      <c r="J43" s="221">
        <f t="shared" si="26"/>
        <v>42678584783.813232</v>
      </c>
      <c r="K43" s="221">
        <f t="shared" si="26"/>
        <v>38111798599.838058</v>
      </c>
      <c r="L43" s="221">
        <f t="shared" si="26"/>
        <v>28956185138.883568</v>
      </c>
      <c r="M43" s="221">
        <f t="shared" si="26"/>
        <v>29604580960.050854</v>
      </c>
      <c r="N43" s="221">
        <f t="shared" si="26"/>
        <v>30272428655.853165</v>
      </c>
      <c r="O43" s="221">
        <f t="shared" si="26"/>
        <v>30960311782.529541</v>
      </c>
      <c r="P43" s="221">
        <f t="shared" si="26"/>
        <v>31668831403.006214</v>
      </c>
      <c r="Q43" s="221">
        <f t="shared" si="26"/>
        <v>32398606612.097191</v>
      </c>
      <c r="R43" s="221">
        <f t="shared" si="26"/>
        <v>33150275077.460884</v>
      </c>
      <c r="S43" s="221">
        <f t="shared" si="26"/>
        <v>33832896229.368145</v>
      </c>
      <c r="T43" s="221">
        <f t="shared" si="26"/>
        <v>34386081657.826202</v>
      </c>
      <c r="U43" s="221">
        <f t="shared" si="26"/>
        <v>34657865880.473564</v>
      </c>
      <c r="V43" s="221">
        <f t="shared" si="26"/>
        <v>34038317481.761902</v>
      </c>
      <c r="W43" s="242">
        <f t="shared" si="26"/>
        <v>700351192230.98987</v>
      </c>
      <c r="X43" s="216"/>
    </row>
    <row r="44" spans="2:24" s="187" customFormat="1" ht="14.25" customHeight="1" x14ac:dyDescent="0.3">
      <c r="B44" s="188"/>
      <c r="C44" s="224"/>
      <c r="D44" s="224"/>
      <c r="E44" s="224"/>
      <c r="F44" s="224"/>
      <c r="G44" s="224"/>
      <c r="H44" s="224"/>
      <c r="I44" s="224"/>
      <c r="J44" s="224"/>
      <c r="K44" s="224"/>
      <c r="L44" s="224"/>
      <c r="M44" s="224"/>
      <c r="N44" s="224"/>
      <c r="O44" s="224"/>
      <c r="P44" s="224"/>
      <c r="Q44" s="243"/>
      <c r="R44" s="243"/>
      <c r="S44" s="243"/>
      <c r="T44" s="243"/>
      <c r="U44" s="243"/>
      <c r="V44" s="243"/>
      <c r="W44" s="244"/>
    </row>
    <row r="45" spans="2:24" s="187" customFormat="1" ht="27" customHeight="1" x14ac:dyDescent="0.3">
      <c r="B45" s="245" t="s">
        <v>122</v>
      </c>
      <c r="C45" s="246">
        <f t="shared" ref="C45:V45" si="27">+C33-C39</f>
        <v>-2874668543.8956375</v>
      </c>
      <c r="D45" s="246">
        <f t="shared" si="27"/>
        <v>11183548993.982468</v>
      </c>
      <c r="E45" s="246">
        <f t="shared" si="27"/>
        <v>-3067157889.8933182</v>
      </c>
      <c r="F45" s="246">
        <f t="shared" si="27"/>
        <v>-9476713892.3027954</v>
      </c>
      <c r="G45" s="246">
        <f t="shared" si="27"/>
        <v>-878630242.97224426</v>
      </c>
      <c r="H45" s="246">
        <f t="shared" si="27"/>
        <v>-3192181875.2723312</v>
      </c>
      <c r="I45" s="246">
        <f t="shared" si="27"/>
        <v>-7250795605.0073433</v>
      </c>
      <c r="J45" s="246">
        <f t="shared" si="27"/>
        <v>-822336716.76324081</v>
      </c>
      <c r="K45" s="246">
        <f t="shared" si="27"/>
        <v>5000136909.2234383</v>
      </c>
      <c r="L45" s="246">
        <f t="shared" si="27"/>
        <v>15449108435.449768</v>
      </c>
      <c r="M45" s="246">
        <f t="shared" si="27"/>
        <v>16132871421.512478</v>
      </c>
      <c r="N45" s="246">
        <f t="shared" si="27"/>
        <v>16837147297.157066</v>
      </c>
      <c r="O45" s="246">
        <f t="shared" si="27"/>
        <v>17562551449.070999</v>
      </c>
      <c r="P45" s="246">
        <f t="shared" si="27"/>
        <v>18309717725.542347</v>
      </c>
      <c r="Q45" s="246">
        <f t="shared" si="27"/>
        <v>19079298990.307831</v>
      </c>
      <c r="R45" s="246">
        <f t="shared" si="27"/>
        <v>19871967693.016289</v>
      </c>
      <c r="S45" s="246">
        <f t="shared" si="27"/>
        <v>20780013824.223347</v>
      </c>
      <c r="T45" s="246">
        <f t="shared" si="27"/>
        <v>21865215697.373028</v>
      </c>
      <c r="U45" s="246">
        <f t="shared" si="27"/>
        <v>23280970395.381657</v>
      </c>
      <c r="V45" s="246">
        <f t="shared" si="27"/>
        <v>25638683882.368973</v>
      </c>
      <c r="W45" s="247">
        <f>+SUM(C45:V45)</f>
        <v>203428747948.50275</v>
      </c>
    </row>
    <row r="46" spans="2:24" s="187" customFormat="1" ht="15.75" customHeight="1" x14ac:dyDescent="0.3">
      <c r="B46" s="248" t="s">
        <v>123</v>
      </c>
      <c r="C46" s="249">
        <f>C45</f>
        <v>-2874668543.8956375</v>
      </c>
      <c r="D46" s="249">
        <f t="shared" ref="D46:Q46" si="28">+D45+C46</f>
        <v>8308880450.0868301</v>
      </c>
      <c r="E46" s="249">
        <f t="shared" si="28"/>
        <v>5241722560.193512</v>
      </c>
      <c r="F46" s="249">
        <f t="shared" si="28"/>
        <v>-4234991332.1092834</v>
      </c>
      <c r="G46" s="249">
        <f t="shared" si="28"/>
        <v>-5113621575.0815277</v>
      </c>
      <c r="H46" s="249">
        <f t="shared" si="28"/>
        <v>-8305803450.3538589</v>
      </c>
      <c r="I46" s="249">
        <f t="shared" si="28"/>
        <v>-15556599055.361202</v>
      </c>
      <c r="J46" s="249">
        <f t="shared" si="28"/>
        <v>-16378935772.124443</v>
      </c>
      <c r="K46" s="249">
        <f t="shared" si="28"/>
        <v>-11378798862.901005</v>
      </c>
      <c r="L46" s="250">
        <f t="shared" si="28"/>
        <v>4070309572.5487633</v>
      </c>
      <c r="M46" s="250">
        <f t="shared" si="28"/>
        <v>20203180994.061241</v>
      </c>
      <c r="N46" s="250">
        <f t="shared" si="28"/>
        <v>37040328291.218307</v>
      </c>
      <c r="O46" s="250">
        <f t="shared" si="28"/>
        <v>54602879740.289307</v>
      </c>
      <c r="P46" s="250">
        <f t="shared" si="28"/>
        <v>72912597465.83165</v>
      </c>
      <c r="Q46" s="250">
        <f t="shared" si="28"/>
        <v>91991896456.139481</v>
      </c>
      <c r="R46" s="251">
        <f>IF(CONTROL!$C$12=2,R45+Q46,0)</f>
        <v>111863864149.15576</v>
      </c>
      <c r="S46" s="251">
        <f>IF(CONTROL!$C$12=2,S45+R46,0)</f>
        <v>132643877973.3791</v>
      </c>
      <c r="T46" s="251">
        <f>IF(CONTROL!$C$12=2,T45+S46,0)</f>
        <v>154509093670.75214</v>
      </c>
      <c r="U46" s="251">
        <f>IF(CONTROL!$C$12=2,U45+T46,0)</f>
        <v>177790064066.13379</v>
      </c>
      <c r="V46" s="251">
        <f>IF(CONTROL!$C$12=2,V45+U46,0)</f>
        <v>203428747948.50275</v>
      </c>
      <c r="W46" s="250"/>
    </row>
    <row r="47" spans="2:24" s="5" customFormat="1" ht="13.5" customHeight="1" x14ac:dyDescent="0.3">
      <c r="B47" s="252"/>
      <c r="C47" s="253"/>
      <c r="D47" s="253"/>
      <c r="E47" s="253"/>
      <c r="F47" s="253"/>
      <c r="G47" s="253"/>
      <c r="H47" s="253"/>
      <c r="I47" s="253"/>
      <c r="J47" s="253"/>
      <c r="K47" s="253"/>
      <c r="L47" s="253"/>
      <c r="M47" s="253"/>
      <c r="N47" s="253"/>
      <c r="O47" s="253"/>
      <c r="P47" s="253"/>
      <c r="Q47" s="253"/>
      <c r="R47" s="253"/>
      <c r="S47" s="253"/>
      <c r="T47" s="253"/>
      <c r="U47" s="253"/>
      <c r="V47" s="253"/>
      <c r="W47" s="187"/>
    </row>
    <row r="48" spans="2:24" s="5" customFormat="1" ht="13.5" customHeight="1" x14ac:dyDescent="0.3">
      <c r="B48" s="252"/>
      <c r="C48" s="253"/>
      <c r="D48" s="253"/>
      <c r="E48" s="253"/>
      <c r="F48" s="253"/>
      <c r="G48" s="253"/>
      <c r="H48" s="253"/>
      <c r="I48" s="253"/>
      <c r="J48" s="253"/>
      <c r="K48" s="253"/>
      <c r="L48" s="253"/>
      <c r="M48" s="253"/>
      <c r="N48" s="253"/>
      <c r="O48" s="253"/>
      <c r="P48" s="253"/>
      <c r="Q48" s="253"/>
      <c r="R48" s="253"/>
      <c r="S48" s="253"/>
      <c r="T48" s="253"/>
      <c r="U48" s="253"/>
      <c r="V48" s="253"/>
      <c r="W48" s="187"/>
    </row>
    <row r="49" spans="1:104" s="5" customFormat="1" ht="28.5" customHeight="1" x14ac:dyDescent="0.3">
      <c r="B49" s="254" t="s">
        <v>124</v>
      </c>
      <c r="C49" s="255">
        <f>IF(CONTROL!$C$12=2,IRR(C45:V45),IRR(C45:Q45))</f>
        <v>2.2128474741156055</v>
      </c>
      <c r="D49" s="256"/>
      <c r="E49" s="257"/>
      <c r="F49" s="258"/>
      <c r="G49" s="259"/>
      <c r="H49" s="258"/>
      <c r="I49" s="188"/>
      <c r="J49" s="188"/>
      <c r="K49" s="188"/>
      <c r="L49" s="188"/>
      <c r="M49" s="188"/>
      <c r="N49" s="188"/>
      <c r="O49" s="188"/>
      <c r="P49" s="188"/>
      <c r="Q49" s="188"/>
      <c r="R49" s="188"/>
      <c r="S49" s="188"/>
      <c r="T49" s="188"/>
      <c r="U49" s="188"/>
      <c r="V49" s="188"/>
      <c r="W49" s="187"/>
    </row>
    <row r="50" spans="1:104" s="187" customFormat="1" ht="15.75" customHeight="1" x14ac:dyDescent="0.3">
      <c r="B50" s="188"/>
      <c r="C50" s="188"/>
      <c r="D50" s="256"/>
      <c r="E50" s="257"/>
      <c r="F50" s="258"/>
      <c r="G50" s="259"/>
      <c r="H50" s="258"/>
      <c r="I50" s="188"/>
      <c r="J50" s="188"/>
      <c r="K50" s="188"/>
      <c r="L50" s="188"/>
      <c r="M50" s="188"/>
      <c r="N50" s="188"/>
      <c r="O50" s="188"/>
      <c r="P50" s="188"/>
      <c r="Q50" s="188"/>
      <c r="R50" s="188"/>
      <c r="S50" s="188"/>
      <c r="T50" s="188"/>
      <c r="U50" s="188"/>
      <c r="V50" s="188"/>
    </row>
    <row r="51" spans="1:104" s="5" customFormat="1" ht="13.5" customHeight="1" x14ac:dyDescent="0.3">
      <c r="B51" s="260" t="s">
        <v>2</v>
      </c>
      <c r="C51" s="520">
        <f>+NPV(B52,C45:V45)</f>
        <v>44958838025.145088</v>
      </c>
      <c r="D51" s="256"/>
      <c r="E51" s="234"/>
      <c r="F51" s="187"/>
      <c r="G51" s="187"/>
      <c r="H51" s="188"/>
      <c r="I51" s="188"/>
      <c r="J51" s="188"/>
      <c r="K51" s="188"/>
      <c r="L51" s="188"/>
      <c r="M51" s="188"/>
      <c r="N51" s="188"/>
      <c r="O51" s="188"/>
      <c r="P51" s="188"/>
      <c r="Q51" s="188"/>
      <c r="R51" s="188"/>
      <c r="S51" s="188"/>
      <c r="T51" s="188"/>
      <c r="U51" s="188"/>
      <c r="V51" s="188"/>
      <c r="W51" s="187"/>
    </row>
    <row r="52" spans="1:104" s="187" customFormat="1" ht="15" customHeight="1" x14ac:dyDescent="0.25">
      <c r="B52" s="261">
        <f>+CONTROL!G21</f>
        <v>0.1</v>
      </c>
      <c r="C52" s="518"/>
      <c r="D52" s="256"/>
      <c r="F52" s="107"/>
      <c r="H52" s="188"/>
      <c r="I52" s="188"/>
      <c r="J52" s="188"/>
      <c r="K52" s="188"/>
      <c r="L52" s="188"/>
      <c r="M52" s="188"/>
      <c r="N52" s="188"/>
      <c r="O52" s="188"/>
      <c r="P52" s="188"/>
      <c r="Q52" s="188"/>
      <c r="R52" s="188"/>
      <c r="S52" s="188"/>
      <c r="T52" s="188"/>
      <c r="U52" s="188"/>
      <c r="V52" s="188"/>
    </row>
    <row r="53" spans="1:104" s="187" customFormat="1" ht="14.25" customHeight="1" x14ac:dyDescent="0.3">
      <c r="B53" s="188"/>
      <c r="C53" s="224"/>
      <c r="D53" s="224"/>
      <c r="E53" s="188"/>
      <c r="F53" s="188"/>
      <c r="G53" s="188"/>
      <c r="H53" s="188"/>
      <c r="I53" s="188"/>
      <c r="J53" s="188"/>
      <c r="K53" s="188"/>
      <c r="L53" s="188"/>
      <c r="M53" s="188"/>
      <c r="N53" s="188"/>
      <c r="O53" s="188"/>
      <c r="P53" s="188"/>
      <c r="Q53" s="188"/>
      <c r="R53" s="188"/>
      <c r="S53" s="188"/>
      <c r="T53" s="188"/>
      <c r="U53" s="188"/>
      <c r="V53" s="188"/>
      <c r="X53" s="216"/>
      <c r="Y53" s="262"/>
    </row>
    <row r="54" spans="1:104" s="187" customFormat="1" ht="13.5" customHeight="1" x14ac:dyDescent="0.3">
      <c r="B54" s="524" t="s">
        <v>125</v>
      </c>
      <c r="C54" s="516">
        <f>+C51/(NPV(B52,C43:V43))</f>
        <v>0.14937691052651986</v>
      </c>
      <c r="D54" s="188"/>
      <c r="E54" s="188"/>
      <c r="F54" s="224"/>
      <c r="G54" s="188"/>
      <c r="H54" s="188"/>
      <c r="I54" s="188"/>
      <c r="J54" s="188"/>
      <c r="K54" s="188"/>
      <c r="L54" s="188"/>
      <c r="M54" s="188"/>
      <c r="N54" s="188"/>
      <c r="O54" s="188"/>
      <c r="P54" s="188"/>
      <c r="Q54" s="188"/>
      <c r="R54" s="188"/>
      <c r="S54" s="188"/>
      <c r="T54" s="188"/>
      <c r="U54" s="188"/>
      <c r="V54" s="188"/>
      <c r="X54" s="216"/>
    </row>
    <row r="55" spans="1:104" s="5" customFormat="1" ht="12.75" customHeight="1" x14ac:dyDescent="0.3">
      <c r="B55" s="517"/>
      <c r="C55" s="517"/>
      <c r="D55" s="188"/>
      <c r="E55" s="188"/>
      <c r="F55" s="263"/>
      <c r="G55" s="188"/>
      <c r="H55" s="188"/>
      <c r="I55" s="188"/>
      <c r="J55" s="188"/>
      <c r="K55" s="188"/>
      <c r="L55" s="188"/>
      <c r="M55" s="188"/>
      <c r="N55" s="188"/>
      <c r="O55" s="188"/>
      <c r="P55" s="188"/>
      <c r="Q55" s="188"/>
      <c r="R55" s="188"/>
      <c r="S55" s="188"/>
      <c r="T55" s="188"/>
      <c r="U55" s="188"/>
      <c r="V55" s="188"/>
      <c r="W55" s="187"/>
      <c r="Y55" s="264"/>
    </row>
    <row r="56" spans="1:104" s="5" customFormat="1" ht="13.5" customHeight="1" x14ac:dyDescent="0.3">
      <c r="B56" s="518"/>
      <c r="C56" s="518"/>
      <c r="D56" s="188"/>
      <c r="E56" s="188"/>
      <c r="F56" s="188"/>
      <c r="G56" s="188"/>
      <c r="H56" s="188"/>
      <c r="I56" s="188"/>
      <c r="J56" s="188"/>
      <c r="K56" s="188"/>
      <c r="L56" s="188"/>
      <c r="M56" s="188"/>
      <c r="N56" s="188"/>
      <c r="O56" s="188"/>
      <c r="P56" s="188"/>
      <c r="Q56" s="188"/>
      <c r="R56" s="188"/>
      <c r="S56" s="188"/>
      <c r="T56" s="188"/>
      <c r="U56" s="188"/>
      <c r="V56" s="188"/>
      <c r="W56" s="187"/>
    </row>
    <row r="57" spans="1:104" s="5" customFormat="1" ht="14.25" customHeight="1" x14ac:dyDescent="0.3">
      <c r="B57" s="188"/>
      <c r="C57" s="187"/>
      <c r="D57" s="188"/>
      <c r="E57" s="188"/>
      <c r="F57" s="188"/>
      <c r="G57" s="188"/>
      <c r="H57" s="188"/>
      <c r="I57" s="188"/>
      <c r="J57" s="188"/>
      <c r="K57" s="188"/>
      <c r="L57" s="188"/>
      <c r="M57" s="188"/>
      <c r="N57" s="188"/>
      <c r="O57" s="188"/>
      <c r="P57" s="188"/>
      <c r="Q57" s="188"/>
      <c r="R57" s="188"/>
      <c r="S57" s="188"/>
      <c r="T57" s="188"/>
      <c r="U57" s="188"/>
      <c r="V57" s="188"/>
      <c r="W57" s="187"/>
    </row>
    <row r="58" spans="1:104" s="187" customFormat="1" ht="15.75" customHeight="1" x14ac:dyDescent="0.25">
      <c r="B58" s="265" t="s">
        <v>126</v>
      </c>
      <c r="C58" s="266">
        <f>+NPV(B52,C22:V22)/NPV(B52,C43:V43)</f>
        <v>1.1493769105265201</v>
      </c>
      <c r="D58" s="267"/>
      <c r="E58" s="267"/>
      <c r="F58" s="188"/>
      <c r="G58" s="188"/>
      <c r="H58" s="8"/>
      <c r="I58" s="188"/>
      <c r="J58" s="188"/>
      <c r="K58" s="188"/>
      <c r="L58" s="188"/>
      <c r="M58" s="188"/>
      <c r="N58" s="188"/>
      <c r="O58" s="188"/>
      <c r="P58" s="188"/>
      <c r="Q58" s="188"/>
      <c r="R58" s="188"/>
      <c r="S58" s="188"/>
      <c r="T58" s="188"/>
      <c r="U58" s="188"/>
      <c r="V58" s="188"/>
    </row>
    <row r="59" spans="1:104" s="5" customFormat="1" ht="14.25" customHeight="1" x14ac:dyDescent="0.3">
      <c r="B59" s="188"/>
      <c r="C59" s="188"/>
      <c r="D59" s="267"/>
      <c r="E59" s="267"/>
      <c r="F59" s="188"/>
      <c r="G59" s="188"/>
      <c r="H59" s="188"/>
      <c r="I59" s="188"/>
      <c r="J59" s="188"/>
      <c r="K59" s="188"/>
      <c r="L59" s="188"/>
      <c r="M59" s="188"/>
      <c r="N59" s="188"/>
      <c r="O59" s="188"/>
      <c r="P59" s="188"/>
      <c r="Q59" s="188"/>
      <c r="R59" s="188"/>
      <c r="S59" s="188"/>
      <c r="T59" s="188"/>
      <c r="U59" s="188"/>
      <c r="V59" s="188"/>
      <c r="W59" s="187"/>
    </row>
    <row r="60" spans="1:104" s="238" customFormat="1" ht="14.25" customHeight="1" x14ac:dyDescent="0.3">
      <c r="A60" s="5"/>
      <c r="B60" s="265" t="s">
        <v>127</v>
      </c>
      <c r="C60" s="268">
        <f t="array" ref="C60">IFERROR(IF(LOOKUP(2,1/(C46:V46&lt;0),C8:V8)&gt;=$C$118,"No recupera",LOOKUP(2,1/(C46:V46&lt;0),C8:V8)+1),1)</f>
        <v>10</v>
      </c>
      <c r="D60" s="267"/>
      <c r="E60" s="267"/>
      <c r="F60" s="188"/>
      <c r="G60" s="188"/>
      <c r="H60" s="188"/>
      <c r="I60" s="188"/>
      <c r="J60" s="188"/>
      <c r="K60" s="188"/>
      <c r="L60" s="188"/>
      <c r="M60" s="188"/>
      <c r="N60" s="188"/>
      <c r="O60" s="188"/>
      <c r="P60" s="188"/>
      <c r="Q60" s="188"/>
      <c r="R60" s="188"/>
      <c r="S60" s="188"/>
      <c r="T60" s="188"/>
      <c r="U60" s="188"/>
      <c r="V60" s="188"/>
      <c r="W60" s="187"/>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5"/>
      <c r="BG60" s="5"/>
      <c r="BH60" s="5"/>
      <c r="BI60" s="5"/>
      <c r="BJ60" s="5"/>
      <c r="BK60" s="5"/>
      <c r="BL60" s="5"/>
      <c r="BM60" s="5"/>
      <c r="BN60" s="5"/>
      <c r="BO60" s="5"/>
      <c r="BP60" s="5"/>
      <c r="BQ60" s="5"/>
      <c r="BR60" s="5"/>
      <c r="BS60" s="5"/>
      <c r="BT60" s="5"/>
      <c r="BU60" s="5"/>
      <c r="BV60" s="5"/>
      <c r="BW60" s="5"/>
      <c r="BX60" s="5"/>
      <c r="BY60" s="5"/>
      <c r="BZ60" s="5"/>
      <c r="CA60" s="5"/>
      <c r="CB60" s="5"/>
      <c r="CC60" s="5"/>
      <c r="CD60" s="5"/>
      <c r="CE60" s="5"/>
      <c r="CF60" s="5"/>
      <c r="CG60" s="5"/>
      <c r="CH60" s="5"/>
      <c r="CI60" s="5"/>
      <c r="CJ60" s="5"/>
      <c r="CK60" s="5"/>
      <c r="CL60" s="5"/>
      <c r="CM60" s="5"/>
      <c r="CN60" s="5"/>
      <c r="CO60" s="5"/>
      <c r="CP60" s="5"/>
      <c r="CQ60" s="5"/>
      <c r="CR60" s="5"/>
      <c r="CS60" s="5"/>
      <c r="CT60" s="5"/>
      <c r="CU60" s="5"/>
      <c r="CV60" s="5"/>
      <c r="CW60" s="5"/>
      <c r="CX60" s="5"/>
      <c r="CY60" s="5"/>
      <c r="CZ60" s="5"/>
    </row>
    <row r="61" spans="1:104" ht="13.5" customHeight="1" x14ac:dyDescent="0.3">
      <c r="B61" s="252"/>
      <c r="C61" s="253"/>
      <c r="D61" s="253"/>
      <c r="E61" s="253"/>
      <c r="F61" s="253"/>
      <c r="G61" s="253"/>
      <c r="H61" s="253"/>
      <c r="I61" s="253"/>
      <c r="J61" s="253"/>
      <c r="K61" s="253"/>
      <c r="L61" s="253"/>
      <c r="M61" s="253"/>
      <c r="N61" s="253"/>
      <c r="O61" s="253"/>
      <c r="P61" s="253"/>
      <c r="Q61" s="253"/>
      <c r="R61" s="253"/>
      <c r="S61" s="253"/>
      <c r="T61" s="253"/>
      <c r="U61" s="253"/>
      <c r="V61" s="253"/>
    </row>
    <row r="62" spans="1:104" s="270" customFormat="1" ht="13.5" customHeight="1" x14ac:dyDescent="0.3">
      <c r="A62" s="269"/>
      <c r="C62" s="271"/>
      <c r="E62" s="271"/>
      <c r="G62" s="271"/>
      <c r="I62" s="271"/>
      <c r="K62" s="271"/>
      <c r="M62" s="271"/>
      <c r="W62" s="269"/>
      <c r="X62" s="269"/>
      <c r="Y62" s="269"/>
      <c r="Z62" s="269"/>
      <c r="AA62" s="269"/>
      <c r="AB62" s="269"/>
      <c r="AC62" s="269"/>
      <c r="AD62" s="269"/>
      <c r="AE62" s="269"/>
      <c r="AF62" s="269"/>
      <c r="AG62" s="269"/>
      <c r="AH62" s="269"/>
      <c r="AI62" s="269"/>
      <c r="AJ62" s="269"/>
      <c r="AK62" s="269"/>
      <c r="AL62" s="269"/>
      <c r="AM62" s="269"/>
      <c r="AN62" s="269"/>
      <c r="AO62" s="269"/>
      <c r="AP62" s="269"/>
      <c r="AQ62" s="269"/>
      <c r="AR62" s="269"/>
      <c r="AS62" s="269"/>
      <c r="AT62" s="269"/>
      <c r="AU62" s="269"/>
      <c r="AV62" s="269"/>
      <c r="AW62" s="269"/>
      <c r="AX62" s="269"/>
      <c r="AY62" s="269"/>
      <c r="AZ62" s="269"/>
      <c r="BA62" s="269"/>
      <c r="BB62" s="269"/>
      <c r="BC62" s="269"/>
      <c r="BD62" s="269"/>
      <c r="BE62" s="269"/>
      <c r="BF62" s="269"/>
      <c r="BG62" s="269"/>
      <c r="BH62" s="269"/>
      <c r="BI62" s="269"/>
      <c r="BJ62" s="269"/>
      <c r="BK62" s="269"/>
      <c r="BL62" s="269"/>
      <c r="BM62" s="269"/>
      <c r="BN62" s="269"/>
      <c r="BO62" s="269"/>
      <c r="BP62" s="269"/>
      <c r="BQ62" s="269"/>
      <c r="BR62" s="269"/>
      <c r="BS62" s="269"/>
      <c r="BT62" s="269"/>
      <c r="BU62" s="269"/>
      <c r="BV62" s="269"/>
      <c r="BW62" s="269"/>
      <c r="BX62" s="269"/>
      <c r="BY62" s="269"/>
      <c r="BZ62" s="269"/>
      <c r="CA62" s="269"/>
      <c r="CB62" s="269"/>
      <c r="CC62" s="269"/>
      <c r="CD62" s="269"/>
      <c r="CE62" s="269"/>
      <c r="CF62" s="269"/>
      <c r="CG62" s="269"/>
      <c r="CH62" s="269"/>
      <c r="CI62" s="269"/>
      <c r="CJ62" s="269"/>
      <c r="CK62" s="269"/>
      <c r="CL62" s="269"/>
      <c r="CM62" s="269"/>
      <c r="CN62" s="269"/>
      <c r="CO62" s="269"/>
      <c r="CP62" s="269"/>
      <c r="CQ62" s="269"/>
      <c r="CR62" s="269"/>
      <c r="CS62" s="269"/>
      <c r="CT62" s="269"/>
      <c r="CU62" s="269"/>
      <c r="CV62" s="269"/>
      <c r="CW62" s="269"/>
      <c r="CX62" s="269"/>
      <c r="CY62" s="269"/>
      <c r="CZ62" s="269"/>
    </row>
    <row r="63" spans="1:104" ht="16.5" customHeight="1" x14ac:dyDescent="0.3">
      <c r="B63" s="511" t="s">
        <v>96</v>
      </c>
      <c r="C63" s="512"/>
      <c r="D63" s="512"/>
      <c r="E63" s="512"/>
      <c r="F63" s="512"/>
      <c r="G63" s="512"/>
      <c r="H63" s="512"/>
      <c r="I63" s="512"/>
      <c r="J63" s="512"/>
      <c r="K63" s="512"/>
      <c r="L63" s="512"/>
      <c r="M63" s="512"/>
      <c r="N63" s="512"/>
      <c r="O63" s="512"/>
      <c r="P63" s="512"/>
      <c r="Q63" s="512"/>
      <c r="R63" s="512"/>
      <c r="S63" s="512"/>
      <c r="T63" s="512"/>
      <c r="U63" s="512"/>
      <c r="V63" s="512"/>
      <c r="W63" s="513"/>
    </row>
    <row r="64" spans="1:104" ht="19.5" customHeight="1" x14ac:dyDescent="0.25">
      <c r="D64" s="272"/>
      <c r="E64" s="273"/>
      <c r="F64" s="273"/>
      <c r="G64" s="273"/>
      <c r="H64" s="272"/>
      <c r="I64" s="272"/>
      <c r="J64" s="274"/>
      <c r="K64" s="275"/>
      <c r="L64" s="276"/>
      <c r="M64" s="277"/>
      <c r="N64" s="277"/>
      <c r="O64" s="275"/>
      <c r="P64" s="276"/>
      <c r="Q64" s="278"/>
      <c r="R64" s="278"/>
      <c r="S64" s="278"/>
      <c r="T64" s="278"/>
      <c r="U64" s="278"/>
      <c r="V64" s="278"/>
    </row>
    <row r="65" spans="2:23" s="187" customFormat="1" ht="15" customHeight="1" x14ac:dyDescent="0.25">
      <c r="B65" s="238"/>
      <c r="C65" s="279"/>
      <c r="D65" s="272"/>
      <c r="E65" s="280"/>
      <c r="F65" s="216"/>
      <c r="G65" s="281"/>
      <c r="H65" s="272"/>
      <c r="I65" s="272"/>
      <c r="J65" s="274"/>
      <c r="K65" s="275"/>
      <c r="L65" s="276"/>
      <c r="M65" s="277"/>
      <c r="N65" s="277"/>
      <c r="O65" s="275"/>
      <c r="P65" s="276"/>
      <c r="Q65" s="278"/>
      <c r="R65" s="278"/>
      <c r="S65" s="278"/>
      <c r="T65" s="278"/>
      <c r="U65" s="278"/>
      <c r="V65" s="278"/>
    </row>
    <row r="66" spans="2:23" s="187" customFormat="1" ht="13.5" customHeight="1" x14ac:dyDescent="0.3">
      <c r="B66" s="188"/>
      <c r="C66" s="188"/>
      <c r="D66" s="188"/>
      <c r="E66" s="278"/>
      <c r="F66" s="278"/>
      <c r="G66" s="278"/>
      <c r="H66" s="278"/>
      <c r="I66" s="278"/>
      <c r="J66" s="278"/>
      <c r="K66" s="278"/>
      <c r="L66" s="278"/>
      <c r="M66" s="278"/>
      <c r="N66" s="278"/>
      <c r="O66" s="278"/>
      <c r="P66" s="278"/>
      <c r="Q66" s="278"/>
      <c r="R66" s="278"/>
      <c r="S66" s="278"/>
      <c r="T66" s="278"/>
      <c r="U66" s="278"/>
      <c r="V66" s="278"/>
    </row>
    <row r="67" spans="2:23" ht="14.25" customHeight="1" x14ac:dyDescent="0.3">
      <c r="B67" s="282" t="s">
        <v>105</v>
      </c>
      <c r="C67" s="206"/>
      <c r="D67" s="206">
        <f t="shared" ref="D67:V67" si="29">+D16</f>
        <v>0.03</v>
      </c>
      <c r="E67" s="206">
        <f t="shared" si="29"/>
        <v>0.03</v>
      </c>
      <c r="F67" s="206">
        <f t="shared" si="29"/>
        <v>0.03</v>
      </c>
      <c r="G67" s="206">
        <f t="shared" si="29"/>
        <v>0.03</v>
      </c>
      <c r="H67" s="206">
        <f t="shared" si="29"/>
        <v>0.03</v>
      </c>
      <c r="I67" s="206">
        <f t="shared" si="29"/>
        <v>0.03</v>
      </c>
      <c r="J67" s="206">
        <f t="shared" si="29"/>
        <v>0.03</v>
      </c>
      <c r="K67" s="206">
        <f t="shared" si="29"/>
        <v>0.03</v>
      </c>
      <c r="L67" s="206">
        <f t="shared" si="29"/>
        <v>0.03</v>
      </c>
      <c r="M67" s="206">
        <f t="shared" si="29"/>
        <v>0.03</v>
      </c>
      <c r="N67" s="206">
        <f t="shared" si="29"/>
        <v>0.03</v>
      </c>
      <c r="O67" s="206">
        <f t="shared" si="29"/>
        <v>0.03</v>
      </c>
      <c r="P67" s="206">
        <f t="shared" si="29"/>
        <v>0.03</v>
      </c>
      <c r="Q67" s="206">
        <f t="shared" si="29"/>
        <v>0.03</v>
      </c>
      <c r="R67" s="206">
        <f t="shared" si="29"/>
        <v>0.03</v>
      </c>
      <c r="S67" s="206">
        <f t="shared" si="29"/>
        <v>0.03</v>
      </c>
      <c r="T67" s="206">
        <f t="shared" si="29"/>
        <v>0.03</v>
      </c>
      <c r="U67" s="206">
        <f t="shared" si="29"/>
        <v>0.03</v>
      </c>
      <c r="V67" s="206">
        <f t="shared" si="29"/>
        <v>0.03</v>
      </c>
      <c r="W67" s="519" t="s">
        <v>106</v>
      </c>
    </row>
    <row r="68" spans="2:23" ht="16.5" customHeight="1" x14ac:dyDescent="0.3">
      <c r="B68" s="283"/>
      <c r="C68" s="521" t="s">
        <v>128</v>
      </c>
      <c r="D68" s="500"/>
      <c r="E68" s="500"/>
      <c r="F68" s="500"/>
      <c r="G68" s="500"/>
      <c r="H68" s="500"/>
      <c r="I68" s="500"/>
      <c r="J68" s="500"/>
      <c r="K68" s="500"/>
      <c r="L68" s="500"/>
      <c r="M68" s="500"/>
      <c r="N68" s="500"/>
      <c r="O68" s="500"/>
      <c r="P68" s="500"/>
      <c r="Q68" s="500"/>
      <c r="R68" s="500"/>
      <c r="S68" s="500"/>
      <c r="T68" s="500"/>
      <c r="U68" s="500"/>
      <c r="V68" s="500"/>
      <c r="W68" s="517"/>
    </row>
    <row r="69" spans="2:23" ht="15.75" customHeight="1" x14ac:dyDescent="0.3">
      <c r="B69" s="217"/>
      <c r="C69" s="284">
        <v>2027</v>
      </c>
      <c r="D69" s="285">
        <v>2028</v>
      </c>
      <c r="E69" s="284">
        <v>2029</v>
      </c>
      <c r="F69" s="285">
        <v>2030</v>
      </c>
      <c r="G69" s="284">
        <v>2031</v>
      </c>
      <c r="H69" s="285">
        <v>2032</v>
      </c>
      <c r="I69" s="284">
        <v>2033</v>
      </c>
      <c r="J69" s="285">
        <v>2034</v>
      </c>
      <c r="K69" s="284">
        <v>2035</v>
      </c>
      <c r="L69" s="285">
        <v>2036</v>
      </c>
      <c r="M69" s="284">
        <v>2037</v>
      </c>
      <c r="N69" s="285">
        <v>2038</v>
      </c>
      <c r="O69" s="284">
        <v>2039</v>
      </c>
      <c r="P69" s="285">
        <v>2040</v>
      </c>
      <c r="Q69" s="284">
        <v>2041</v>
      </c>
      <c r="R69" s="285">
        <v>2042</v>
      </c>
      <c r="S69" s="284">
        <v>2043</v>
      </c>
      <c r="T69" s="285">
        <v>2044</v>
      </c>
      <c r="U69" s="284">
        <v>2045</v>
      </c>
      <c r="V69" s="285">
        <v>2046</v>
      </c>
      <c r="W69" s="517"/>
    </row>
    <row r="70" spans="2:23" ht="13.5" customHeight="1" x14ac:dyDescent="0.25">
      <c r="B70" s="231"/>
      <c r="C70" s="286">
        <v>1</v>
      </c>
      <c r="D70" s="287">
        <f t="shared" ref="D70:V70" si="30">+C70+1</f>
        <v>2</v>
      </c>
      <c r="E70" s="287">
        <f t="shared" si="30"/>
        <v>3</v>
      </c>
      <c r="F70" s="287">
        <f t="shared" si="30"/>
        <v>4</v>
      </c>
      <c r="G70" s="287">
        <f t="shared" si="30"/>
        <v>5</v>
      </c>
      <c r="H70" s="287">
        <f t="shared" si="30"/>
        <v>6</v>
      </c>
      <c r="I70" s="287">
        <f t="shared" si="30"/>
        <v>7</v>
      </c>
      <c r="J70" s="287">
        <f t="shared" si="30"/>
        <v>8</v>
      </c>
      <c r="K70" s="287">
        <f t="shared" si="30"/>
        <v>9</v>
      </c>
      <c r="L70" s="287">
        <f t="shared" si="30"/>
        <v>10</v>
      </c>
      <c r="M70" s="287">
        <f t="shared" si="30"/>
        <v>11</v>
      </c>
      <c r="N70" s="287">
        <f t="shared" si="30"/>
        <v>12</v>
      </c>
      <c r="O70" s="287">
        <f t="shared" si="30"/>
        <v>13</v>
      </c>
      <c r="P70" s="287">
        <f t="shared" si="30"/>
        <v>14</v>
      </c>
      <c r="Q70" s="287">
        <f t="shared" si="30"/>
        <v>15</v>
      </c>
      <c r="R70" s="287">
        <f t="shared" si="30"/>
        <v>16</v>
      </c>
      <c r="S70" s="287">
        <f t="shared" si="30"/>
        <v>17</v>
      </c>
      <c r="T70" s="287">
        <f t="shared" si="30"/>
        <v>18</v>
      </c>
      <c r="U70" s="287">
        <f t="shared" si="30"/>
        <v>19</v>
      </c>
      <c r="V70" s="287">
        <f t="shared" si="30"/>
        <v>20</v>
      </c>
      <c r="W70" s="518"/>
    </row>
    <row r="71" spans="2:23" ht="16.5" customHeight="1" x14ac:dyDescent="0.3">
      <c r="B71" s="208" t="s">
        <v>107</v>
      </c>
      <c r="C71" s="288"/>
      <c r="D71" s="210"/>
      <c r="E71" s="210"/>
      <c r="F71" s="210"/>
      <c r="G71" s="210"/>
      <c r="H71" s="210"/>
      <c r="I71" s="210"/>
      <c r="J71" s="210"/>
      <c r="K71" s="210"/>
      <c r="L71" s="210"/>
      <c r="M71" s="210"/>
      <c r="N71" s="210"/>
      <c r="O71" s="210"/>
      <c r="P71" s="210"/>
      <c r="Q71" s="210"/>
      <c r="R71" s="210"/>
      <c r="S71" s="210"/>
      <c r="T71" s="210"/>
      <c r="U71" s="210"/>
      <c r="V71" s="211"/>
      <c r="W71" s="289"/>
    </row>
    <row r="72" spans="2:23" ht="13.5" customHeight="1" x14ac:dyDescent="0.3">
      <c r="B72" s="212" t="s">
        <v>129</v>
      </c>
      <c r="C72" s="290"/>
      <c r="D72" s="290">
        <f t="shared" ref="D72:V72" si="31">SUM(D73:D76)</f>
        <v>35053948800</v>
      </c>
      <c r="E72" s="290">
        <f t="shared" si="31"/>
        <v>36105567264</v>
      </c>
      <c r="F72" s="290">
        <f t="shared" si="31"/>
        <v>37188734281.919998</v>
      </c>
      <c r="G72" s="290">
        <f t="shared" si="31"/>
        <v>38304396310.377602</v>
      </c>
      <c r="H72" s="290">
        <f t="shared" si="31"/>
        <v>39453528199.688927</v>
      </c>
      <c r="I72" s="290">
        <f t="shared" si="31"/>
        <v>40637134045.679596</v>
      </c>
      <c r="J72" s="290">
        <f t="shared" si="31"/>
        <v>41856248067.049988</v>
      </c>
      <c r="K72" s="290">
        <f t="shared" si="31"/>
        <v>43111935509.061493</v>
      </c>
      <c r="L72" s="290">
        <f t="shared" si="31"/>
        <v>44405293574.333336</v>
      </c>
      <c r="M72" s="290">
        <f t="shared" si="31"/>
        <v>45737452381.563332</v>
      </c>
      <c r="N72" s="290">
        <f t="shared" si="31"/>
        <v>47109575953.010231</v>
      </c>
      <c r="O72" s="290">
        <f t="shared" si="31"/>
        <v>48522863231.60054</v>
      </c>
      <c r="P72" s="290">
        <f t="shared" si="31"/>
        <v>49978549128.548561</v>
      </c>
      <c r="Q72" s="290">
        <f t="shared" si="31"/>
        <v>51477905602.405022</v>
      </c>
      <c r="R72" s="290">
        <f t="shared" si="31"/>
        <v>53022242770.477173</v>
      </c>
      <c r="S72" s="290">
        <f t="shared" si="31"/>
        <v>54612910053.591492</v>
      </c>
      <c r="T72" s="290">
        <f t="shared" si="31"/>
        <v>56251297355.199234</v>
      </c>
      <c r="U72" s="290">
        <f t="shared" si="31"/>
        <v>57938836275.855217</v>
      </c>
      <c r="V72" s="290">
        <f t="shared" si="31"/>
        <v>59677001364.130875</v>
      </c>
      <c r="W72" s="215">
        <f>+SUM(C72:V72)</f>
        <v>880445420168.49268</v>
      </c>
    </row>
    <row r="73" spans="2:23" ht="12.75" customHeight="1" x14ac:dyDescent="0.3">
      <c r="B73" s="291" t="s">
        <v>109</v>
      </c>
      <c r="C73" s="219"/>
      <c r="D73" s="218">
        <f>+C114*$C$112*CONTROL!C37*(1+D67)*HIPOTESIS!D18</f>
        <v>34706880000</v>
      </c>
      <c r="E73" s="218">
        <f>C114*$C$112*CONTROL!C38*(1+D67)*(1+E67)*HIPOTESIS!E18</f>
        <v>35748086400</v>
      </c>
      <c r="F73" s="218">
        <f>C114*$C$112*CONTROL!C39*(1+D67)*(1+E67)*(1+F67)*HIPOTESIS!F18</f>
        <v>36820528992</v>
      </c>
      <c r="G73" s="218">
        <f>C114*$C$112*CONTROL!$C$40*(1+D67)*(1+E67)*(1+F67)*(1+G67)*HIPOTESIS!G18</f>
        <v>37925144861.760002</v>
      </c>
      <c r="H73" s="219">
        <f>G73*(1+H67)*HIPOTESIS!H18</f>
        <v>39062899207.612801</v>
      </c>
      <c r="I73" s="219">
        <f>H73*(1+I67)*HIPOTESIS!I18</f>
        <v>40234786183.841187</v>
      </c>
      <c r="J73" s="219">
        <f>I73*(1+J67)*HIPOTESIS!J18</f>
        <v>41441829769.356422</v>
      </c>
      <c r="K73" s="219">
        <f>J73*(1+K67)*HIPOTESIS!K18</f>
        <v>42685084662.437119</v>
      </c>
      <c r="L73" s="219">
        <f>K73*(1+L67)*HIPOTESIS!L18</f>
        <v>43965637202.310234</v>
      </c>
      <c r="M73" s="219">
        <f>L73*(1+M67)*HIPOTESIS!M18</f>
        <v>45284606318.379539</v>
      </c>
      <c r="N73" s="219">
        <f>M73*(1+N67)*HIPOTESIS!N18</f>
        <v>46643144507.930923</v>
      </c>
      <c r="O73" s="219">
        <f>N73*(1+O67)*HIPOTESIS!O18</f>
        <v>48042438843.168854</v>
      </c>
      <c r="P73" s="219">
        <f>O73*(1+P67)*HIPOTESIS!P18</f>
        <v>49483712008.463921</v>
      </c>
      <c r="Q73" s="219">
        <f>P73*(1+Q67)*HIPOTESIS!Q18</f>
        <v>50968223368.717842</v>
      </c>
      <c r="R73" s="219">
        <f>Q73*(1+R67)*HIPOTESIS!R18</f>
        <v>52497270069.779381</v>
      </c>
      <c r="S73" s="219">
        <f>R73*(1+S67)*HIPOTESIS!S18</f>
        <v>54072188171.872765</v>
      </c>
      <c r="T73" s="219">
        <f>S73*(1+T67)*HIPOTESIS!T18</f>
        <v>55694353817.028946</v>
      </c>
      <c r="U73" s="219">
        <f>T73*(1+U67)*HIPOTESIS!U18</f>
        <v>57365184431.539818</v>
      </c>
      <c r="V73" s="219">
        <f>U73*(1+V67)*HIPOTESIS!V18</f>
        <v>59086139964.486015</v>
      </c>
      <c r="W73" s="215">
        <f>+SUM(C73:V73)</f>
        <v>871728138780.68567</v>
      </c>
    </row>
    <row r="74" spans="2:23" ht="12.75" customHeight="1" x14ac:dyDescent="0.3">
      <c r="B74" s="291" t="s">
        <v>130</v>
      </c>
      <c r="C74" s="218"/>
      <c r="D74" s="218">
        <f>$C$115*$C$112*(1+D67)*HIPOTESIS!D19</f>
        <v>0</v>
      </c>
      <c r="E74" s="292">
        <f>+D74*(1+E67)*HIPOTESIS!E19</f>
        <v>0</v>
      </c>
      <c r="F74" s="292">
        <f>+E74*(1+F67)*HIPOTESIS!F19</f>
        <v>0</v>
      </c>
      <c r="G74" s="292">
        <f>+F74*(1+G67)*HIPOTESIS!G19</f>
        <v>0</v>
      </c>
      <c r="H74" s="292">
        <f>+G74*(1+H67)*HIPOTESIS!H19</f>
        <v>0</v>
      </c>
      <c r="I74" s="292">
        <f>+H74*(1+I67)*HIPOTESIS!I19</f>
        <v>0</v>
      </c>
      <c r="J74" s="218">
        <f>+I74*(1+J67)*HIPOTESIS!J19</f>
        <v>0</v>
      </c>
      <c r="K74" s="218">
        <f>+J74*(1+K67)*HIPOTESIS!K19</f>
        <v>0</v>
      </c>
      <c r="L74" s="218">
        <f>+K74*(1+L67)*HIPOTESIS!L19</f>
        <v>0</v>
      </c>
      <c r="M74" s="218">
        <f>+L74*(1+M67)*HIPOTESIS!M19</f>
        <v>0</v>
      </c>
      <c r="N74" s="218">
        <f>+M74*(1+N67)*HIPOTESIS!N19</f>
        <v>0</v>
      </c>
      <c r="O74" s="218">
        <f>+N74*(1+O67)*HIPOTESIS!O19</f>
        <v>0</v>
      </c>
      <c r="P74" s="218">
        <f>+O74*(1+P67)*HIPOTESIS!P19</f>
        <v>0</v>
      </c>
      <c r="Q74" s="218">
        <f>+P74*(1+Q67)*HIPOTESIS!Q19</f>
        <v>0</v>
      </c>
      <c r="R74" s="218">
        <f>+Q74*(1+R67)*HIPOTESIS!R19</f>
        <v>0</v>
      </c>
      <c r="S74" s="218">
        <f>+R74*(1+S67)*HIPOTESIS!S19</f>
        <v>0</v>
      </c>
      <c r="T74" s="218">
        <f>+S74*(1+T67)*HIPOTESIS!T19</f>
        <v>0</v>
      </c>
      <c r="U74" s="218">
        <f>+T74*(1+U67)*HIPOTESIS!U19</f>
        <v>0</v>
      </c>
      <c r="V74" s="218">
        <f>+U74*(1+V67)*HIPOTESIS!V19</f>
        <v>0</v>
      </c>
      <c r="W74" s="215">
        <f>+SUM(C74:V74)</f>
        <v>0</v>
      </c>
    </row>
    <row r="75" spans="2:23" ht="12.75" customHeight="1" x14ac:dyDescent="0.3">
      <c r="B75" s="217" t="s">
        <v>110</v>
      </c>
      <c r="C75" s="219"/>
      <c r="D75" s="219">
        <f>+(D73+D74)*0.01*HIPOTESIS!D20</f>
        <v>347068800</v>
      </c>
      <c r="E75" s="219">
        <f>+(E73+E74)*0.01*HIPOTESIS!E20</f>
        <v>357480864</v>
      </c>
      <c r="F75" s="219">
        <f>+(F73+F74)*0.01*HIPOTESIS!F20</f>
        <v>368205289.92000002</v>
      </c>
      <c r="G75" s="219">
        <f>+(G73+G74)*0.01*HIPOTESIS!G20</f>
        <v>379251448.61760002</v>
      </c>
      <c r="H75" s="219">
        <f>+(H73+H74)*0.01*HIPOTESIS!H20</f>
        <v>390628992.07612801</v>
      </c>
      <c r="I75" s="219">
        <f>+(I73+I74)*0.01*HIPOTESIS!I20</f>
        <v>402347861.83841187</v>
      </c>
      <c r="J75" s="219">
        <f>+(J73+J74)*0.01*HIPOTESIS!J20</f>
        <v>414418297.69356424</v>
      </c>
      <c r="K75" s="219">
        <f>+(K73+K74)*0.01*HIPOTESIS!K20</f>
        <v>426850846.62437117</v>
      </c>
      <c r="L75" s="219">
        <f>+(L73+L74)*0.01*HIPOTESIS!L20</f>
        <v>439656372.02310234</v>
      </c>
      <c r="M75" s="219">
        <f>+(M73+M74)*0.01*HIPOTESIS!M20</f>
        <v>452846063.18379539</v>
      </c>
      <c r="N75" s="219">
        <f>+(N73+N74)*0.01*HIPOTESIS!N20</f>
        <v>466431445.07930923</v>
      </c>
      <c r="O75" s="219">
        <f>+(O73+O74)*0.01*HIPOTESIS!O20</f>
        <v>480424388.43168855</v>
      </c>
      <c r="P75" s="219">
        <f>+(P73+P74)*0.01*HIPOTESIS!P20</f>
        <v>494837120.08463919</v>
      </c>
      <c r="Q75" s="219">
        <f>+(Q73+Q74)*0.01*HIPOTESIS!Q20</f>
        <v>509682233.68717843</v>
      </c>
      <c r="R75" s="219">
        <f>+(R73+R74)*0.01*HIPOTESIS!R20</f>
        <v>524972700.69779384</v>
      </c>
      <c r="S75" s="219">
        <f>+(S73+S74)*0.01*HIPOTESIS!S20</f>
        <v>540721881.71872771</v>
      </c>
      <c r="T75" s="219">
        <f>+(T73+T74)*0.01*HIPOTESIS!T20</f>
        <v>556943538.17028952</v>
      </c>
      <c r="U75" s="219">
        <f>+(U73+U74)*0.01*HIPOTESIS!U20</f>
        <v>573651844.31539822</v>
      </c>
      <c r="V75" s="219">
        <f>+(V73+V74)*0.01*HIPOTESIS!V20</f>
        <v>590861399.64486015</v>
      </c>
      <c r="W75" s="215">
        <f>+SUM(C75:V75)</f>
        <v>8717281387.8068581</v>
      </c>
    </row>
    <row r="76" spans="2:23" s="187" customFormat="1" ht="13.5" customHeight="1" x14ac:dyDescent="0.3">
      <c r="B76" s="220" t="s">
        <v>111</v>
      </c>
      <c r="C76" s="293">
        <f>+C116</f>
        <v>23334520011</v>
      </c>
      <c r="D76" s="293"/>
      <c r="E76" s="293"/>
      <c r="F76" s="293"/>
      <c r="G76" s="293"/>
      <c r="H76" s="293"/>
      <c r="I76" s="293"/>
      <c r="J76" s="293"/>
      <c r="K76" s="293"/>
      <c r="L76" s="293"/>
      <c r="M76" s="293"/>
      <c r="N76" s="293"/>
      <c r="O76" s="293"/>
      <c r="P76" s="293"/>
      <c r="Q76" s="293"/>
      <c r="R76" s="293"/>
      <c r="S76" s="293"/>
      <c r="T76" s="293"/>
      <c r="U76" s="293"/>
      <c r="V76" s="294"/>
      <c r="W76" s="215">
        <f>+SUM(C76:V76)</f>
        <v>23334520011</v>
      </c>
    </row>
    <row r="77" spans="2:23" ht="14.25" customHeight="1" x14ac:dyDescent="0.3">
      <c r="B77" s="295" t="s">
        <v>131</v>
      </c>
      <c r="C77" s="296">
        <f t="shared" ref="C77:Q77" si="32">SUM(C73:C76)</f>
        <v>23334520011</v>
      </c>
      <c r="D77" s="296">
        <f t="shared" si="32"/>
        <v>35053948800</v>
      </c>
      <c r="E77" s="296">
        <f t="shared" si="32"/>
        <v>36105567264</v>
      </c>
      <c r="F77" s="296">
        <f t="shared" si="32"/>
        <v>37188734281.919998</v>
      </c>
      <c r="G77" s="296">
        <f t="shared" si="32"/>
        <v>38304396310.377602</v>
      </c>
      <c r="H77" s="296">
        <f t="shared" si="32"/>
        <v>39453528199.688927</v>
      </c>
      <c r="I77" s="296">
        <f t="shared" si="32"/>
        <v>40637134045.679596</v>
      </c>
      <c r="J77" s="296">
        <f t="shared" si="32"/>
        <v>41856248067.049988</v>
      </c>
      <c r="K77" s="296">
        <f t="shared" si="32"/>
        <v>43111935509.061493</v>
      </c>
      <c r="L77" s="296">
        <f t="shared" si="32"/>
        <v>44405293574.333336</v>
      </c>
      <c r="M77" s="296">
        <f t="shared" si="32"/>
        <v>45737452381.563332</v>
      </c>
      <c r="N77" s="296">
        <f t="shared" si="32"/>
        <v>47109575953.010231</v>
      </c>
      <c r="O77" s="296">
        <f t="shared" si="32"/>
        <v>48522863231.60054</v>
      </c>
      <c r="P77" s="296">
        <f t="shared" si="32"/>
        <v>49978549128.548561</v>
      </c>
      <c r="Q77" s="296">
        <f t="shared" si="32"/>
        <v>51477905602.405022</v>
      </c>
      <c r="R77" s="297">
        <f>IF(CONTROL!$C$12=2,SUM(R73:R76),0)</f>
        <v>53022242770.477173</v>
      </c>
      <c r="S77" s="297">
        <f>IF(CONTROL!$C$12=2,SUM(S73:S76),0)</f>
        <v>54612910053.591492</v>
      </c>
      <c r="T77" s="297">
        <f>IF(CONTROL!$C$12=2,SUM(T73:T76),0)</f>
        <v>56251297355.199234</v>
      </c>
      <c r="U77" s="297">
        <f>IF(CONTROL!$C$12=2,SUM(U73:U76),0)</f>
        <v>57938836275.855217</v>
      </c>
      <c r="V77" s="298">
        <f>IF(CONTROL!$C$12=2,SUM(V73:V76),0)</f>
        <v>59677001364.130875</v>
      </c>
      <c r="W77" s="223">
        <f>SUM(W73:W76)</f>
        <v>903779940179.49255</v>
      </c>
    </row>
    <row r="78" spans="2:23" ht="14.25" customHeight="1" x14ac:dyDescent="0.3">
      <c r="C78" s="224"/>
      <c r="D78" s="224"/>
      <c r="E78" s="224"/>
      <c r="F78" s="224"/>
      <c r="G78" s="224"/>
      <c r="H78" s="224"/>
      <c r="I78" s="224"/>
      <c r="J78" s="224"/>
      <c r="K78" s="224"/>
      <c r="L78" s="224"/>
      <c r="M78" s="224"/>
      <c r="N78" s="224"/>
      <c r="O78" s="224"/>
      <c r="P78" s="224"/>
      <c r="Q78" s="224"/>
      <c r="R78" s="224"/>
      <c r="S78" s="224"/>
      <c r="T78" s="224"/>
      <c r="U78" s="224"/>
      <c r="V78" s="224"/>
      <c r="W78" s="225"/>
    </row>
    <row r="79" spans="2:23" ht="16.5" customHeight="1" x14ac:dyDescent="0.3">
      <c r="B79" s="208" t="s">
        <v>113</v>
      </c>
      <c r="C79" s="226"/>
      <c r="D79" s="227"/>
      <c r="E79" s="227"/>
      <c r="F79" s="227"/>
      <c r="G79" s="227"/>
      <c r="H79" s="227"/>
      <c r="I79" s="227"/>
      <c r="J79" s="227"/>
      <c r="K79" s="227"/>
      <c r="L79" s="227"/>
      <c r="M79" s="227"/>
      <c r="N79" s="227"/>
      <c r="O79" s="227"/>
      <c r="P79" s="227"/>
      <c r="Q79" s="227"/>
      <c r="R79" s="227"/>
      <c r="S79" s="227"/>
      <c r="T79" s="227"/>
      <c r="U79" s="227"/>
      <c r="V79" s="227"/>
      <c r="W79" s="227"/>
    </row>
    <row r="80" spans="2:23" ht="13.5" customHeight="1" x14ac:dyDescent="0.3">
      <c r="B80" s="229" t="s">
        <v>54</v>
      </c>
      <c r="C80" s="230">
        <f>+OPEX!E19*HIPOTESIS!C24</f>
        <v>2124213660</v>
      </c>
      <c r="D80" s="230">
        <f>+OPEX!F19*HIPOTESIS!D24</f>
        <v>2124213660</v>
      </c>
      <c r="E80" s="230">
        <f>+OPEX!G19*HIPOTESIS!E24</f>
        <v>3540356100</v>
      </c>
      <c r="F80" s="230">
        <f>+OPEX!H19*HIPOTESIS!F24</f>
        <v>7080712200</v>
      </c>
      <c r="G80" s="230">
        <f>+OPEX!I19*HIPOTESIS!G24</f>
        <v>7080712200</v>
      </c>
      <c r="H80" s="230">
        <f>+OPEX!J19*HIPOTESIS!H24</f>
        <v>7080712200</v>
      </c>
      <c r="I80" s="230">
        <f>+OPEX!K19*HIPOTESIS!I24</f>
        <v>7080712200</v>
      </c>
      <c r="J80" s="230">
        <f>+OPEX!L19*HIPOTESIS!J24</f>
        <v>7080712200</v>
      </c>
      <c r="K80" s="230">
        <f>+OPEX!M19*HIPOTESIS!K24</f>
        <v>7080712200</v>
      </c>
      <c r="L80" s="230">
        <f>+OPEX!N19*HIPOTESIS!L24</f>
        <v>7080712200</v>
      </c>
      <c r="M80" s="230">
        <f>+OPEX!O19*HIPOTESIS!M24</f>
        <v>7080712200</v>
      </c>
      <c r="N80" s="230">
        <f>+OPEX!P19*HIPOTESIS!N24</f>
        <v>7080712200</v>
      </c>
      <c r="O80" s="230">
        <f>+OPEX!Q19*HIPOTESIS!O24</f>
        <v>7080712200</v>
      </c>
      <c r="P80" s="230">
        <f>+OPEX!R19*HIPOTESIS!P24</f>
        <v>7080712200</v>
      </c>
      <c r="Q80" s="230">
        <f>+OPEX!S19*HIPOTESIS!Q24</f>
        <v>7080712200</v>
      </c>
      <c r="R80" s="230">
        <f>+OPEX!T19*HIPOTESIS!R24</f>
        <v>7080712200</v>
      </c>
      <c r="S80" s="230">
        <f>+OPEX!U19*HIPOTESIS!S24</f>
        <v>7080712200</v>
      </c>
      <c r="T80" s="230">
        <f>+OPEX!V19*HIPOTESIS!T24</f>
        <v>7080712200</v>
      </c>
      <c r="U80" s="230">
        <f>+OPEX!W19*HIPOTESIS!U24</f>
        <v>7080712200</v>
      </c>
      <c r="V80" s="230">
        <f>+OPEX!X19*HIPOTESIS!V24</f>
        <v>7080712200</v>
      </c>
      <c r="W80" s="213">
        <f t="shared" ref="W80:W91" si="33">+SUM(C80:V80)</f>
        <v>128160890820</v>
      </c>
    </row>
    <row r="81" spans="2:26" ht="12.75" customHeight="1" x14ac:dyDescent="0.3">
      <c r="B81" s="217" t="s">
        <v>57</v>
      </c>
      <c r="C81" s="219">
        <f>+OPEX!E20*HIPOTESIS!C25</f>
        <v>524497200</v>
      </c>
      <c r="D81" s="219">
        <f>+OPEX!F20*HIPOTESIS!D25</f>
        <v>524497200</v>
      </c>
      <c r="E81" s="219">
        <f>+OPEX!G20*HIPOTESIS!E25</f>
        <v>524497200</v>
      </c>
      <c r="F81" s="219">
        <f>+OPEX!H20*HIPOTESIS!F25</f>
        <v>524497200</v>
      </c>
      <c r="G81" s="219">
        <f>+OPEX!I20*HIPOTESIS!G25</f>
        <v>524497200</v>
      </c>
      <c r="H81" s="219">
        <f>+OPEX!J20*HIPOTESIS!H25</f>
        <v>524497200</v>
      </c>
      <c r="I81" s="219">
        <f>+OPEX!K20*HIPOTESIS!I25</f>
        <v>524497200</v>
      </c>
      <c r="J81" s="219">
        <f>+OPEX!L20*HIPOTESIS!J25</f>
        <v>524497200</v>
      </c>
      <c r="K81" s="219">
        <f>+OPEX!M20*HIPOTESIS!K25</f>
        <v>524497200</v>
      </c>
      <c r="L81" s="219">
        <f>+OPEX!N20*HIPOTESIS!L25</f>
        <v>524497200</v>
      </c>
      <c r="M81" s="219">
        <f>+OPEX!O20*HIPOTESIS!M25</f>
        <v>524497200</v>
      </c>
      <c r="N81" s="219">
        <f>+OPEX!P20*HIPOTESIS!N25</f>
        <v>524497200</v>
      </c>
      <c r="O81" s="219">
        <f>+OPEX!Q20*HIPOTESIS!O25</f>
        <v>524497200</v>
      </c>
      <c r="P81" s="219">
        <f>+OPEX!R20*HIPOTESIS!P25</f>
        <v>524497200</v>
      </c>
      <c r="Q81" s="219">
        <f>+OPEX!S20*HIPOTESIS!Q25</f>
        <v>524497200</v>
      </c>
      <c r="R81" s="219">
        <f>+OPEX!T20*HIPOTESIS!R25</f>
        <v>524497200</v>
      </c>
      <c r="S81" s="219">
        <f>+OPEX!U20*HIPOTESIS!S25</f>
        <v>524497200</v>
      </c>
      <c r="T81" s="219">
        <f>+OPEX!V20*HIPOTESIS!T25</f>
        <v>524497200</v>
      </c>
      <c r="U81" s="219">
        <f>+OPEX!W20*HIPOTESIS!U25</f>
        <v>524497200</v>
      </c>
      <c r="V81" s="219">
        <f>+OPEX!X20*HIPOTESIS!V25</f>
        <v>524497200</v>
      </c>
      <c r="W81" s="215">
        <f t="shared" si="33"/>
        <v>10489944000</v>
      </c>
    </row>
    <row r="82" spans="2:26" ht="12.75" customHeight="1" x14ac:dyDescent="0.3">
      <c r="B82" s="217" t="s">
        <v>58</v>
      </c>
      <c r="C82" s="219">
        <f>+OPEX!E21*HIPOTESIS!C26</f>
        <v>1346800000</v>
      </c>
      <c r="D82" s="219">
        <f>+OPEX!F21*HIPOTESIS!D26</f>
        <v>1346800000</v>
      </c>
      <c r="E82" s="219">
        <f>+OPEX!G21*HIPOTESIS!E26</f>
        <v>1346800000</v>
      </c>
      <c r="F82" s="219">
        <f>+OPEX!H21*HIPOTESIS!F26</f>
        <v>1346800000</v>
      </c>
      <c r="G82" s="219">
        <f>+OPEX!I21*HIPOTESIS!G26</f>
        <v>1346800000</v>
      </c>
      <c r="H82" s="219">
        <f>+OPEX!J21*HIPOTESIS!H26</f>
        <v>1346800000</v>
      </c>
      <c r="I82" s="219">
        <f>+OPEX!K21*HIPOTESIS!I26</f>
        <v>1346800000</v>
      </c>
      <c r="J82" s="219">
        <f>+OPEX!L21*HIPOTESIS!J26</f>
        <v>1346800000</v>
      </c>
      <c r="K82" s="219">
        <f>+OPEX!M21*HIPOTESIS!K26</f>
        <v>1346800000</v>
      </c>
      <c r="L82" s="219">
        <f>+OPEX!N21*HIPOTESIS!L26</f>
        <v>1346800000</v>
      </c>
      <c r="M82" s="219">
        <f>+OPEX!O21*HIPOTESIS!M26</f>
        <v>1346800000</v>
      </c>
      <c r="N82" s="219">
        <f>+OPEX!P21*HIPOTESIS!N26</f>
        <v>1346800000</v>
      </c>
      <c r="O82" s="219">
        <f>+OPEX!Q21*HIPOTESIS!O26</f>
        <v>1346800000</v>
      </c>
      <c r="P82" s="219">
        <f>+OPEX!R21*HIPOTESIS!P26</f>
        <v>1346800000</v>
      </c>
      <c r="Q82" s="219">
        <f>+OPEX!S21*HIPOTESIS!Q26</f>
        <v>1346800000</v>
      </c>
      <c r="R82" s="219">
        <f>+OPEX!T21*HIPOTESIS!R26</f>
        <v>1346800000</v>
      </c>
      <c r="S82" s="219">
        <f>+OPEX!U21*HIPOTESIS!S26</f>
        <v>1346800000</v>
      </c>
      <c r="T82" s="219">
        <f>+OPEX!V21*HIPOTESIS!T26</f>
        <v>1346800000</v>
      </c>
      <c r="U82" s="219">
        <f>+OPEX!W21*HIPOTESIS!U26</f>
        <v>1346800000</v>
      </c>
      <c r="V82" s="219">
        <f>+OPEX!X21*HIPOTESIS!V26</f>
        <v>1346800000</v>
      </c>
      <c r="W82" s="215">
        <f t="shared" si="33"/>
        <v>26936000000</v>
      </c>
    </row>
    <row r="83" spans="2:26" ht="12.75" customHeight="1" x14ac:dyDescent="0.3">
      <c r="B83" s="217" t="s">
        <v>59</v>
      </c>
      <c r="C83" s="219">
        <f>+OPEX!E22*HIPOTESIS!C27</f>
        <v>1598400000</v>
      </c>
      <c r="D83" s="219">
        <f>+OPEX!F22*HIPOTESIS!D27</f>
        <v>1598400000</v>
      </c>
      <c r="E83" s="219">
        <f>+OPEX!G22*HIPOTESIS!E27</f>
        <v>1598400000</v>
      </c>
      <c r="F83" s="219">
        <f>+OPEX!H22*HIPOTESIS!F27</f>
        <v>1598400000</v>
      </c>
      <c r="G83" s="219">
        <f>+OPEX!I22*HIPOTESIS!G27</f>
        <v>1598400000</v>
      </c>
      <c r="H83" s="219">
        <f>+OPEX!J22*HIPOTESIS!H27</f>
        <v>1598400000</v>
      </c>
      <c r="I83" s="219">
        <f>+OPEX!K22*HIPOTESIS!I27</f>
        <v>1598400000</v>
      </c>
      <c r="J83" s="219">
        <f>+OPEX!L22*HIPOTESIS!J27</f>
        <v>1598400000</v>
      </c>
      <c r="K83" s="219">
        <f>+OPEX!M22*HIPOTESIS!K27</f>
        <v>1598400000</v>
      </c>
      <c r="L83" s="219">
        <f>+OPEX!N22*HIPOTESIS!L27</f>
        <v>1598400000</v>
      </c>
      <c r="M83" s="219">
        <f>+OPEX!O22*HIPOTESIS!M27</f>
        <v>1598400000</v>
      </c>
      <c r="N83" s="219">
        <f>+OPEX!P22*HIPOTESIS!N27</f>
        <v>1598400000</v>
      </c>
      <c r="O83" s="219">
        <f>+OPEX!Q22*HIPOTESIS!O27</f>
        <v>1598400000</v>
      </c>
      <c r="P83" s="219">
        <f>+OPEX!R22*HIPOTESIS!P27</f>
        <v>1598400000</v>
      </c>
      <c r="Q83" s="219">
        <f>+OPEX!S22*HIPOTESIS!Q27</f>
        <v>1598400000</v>
      </c>
      <c r="R83" s="219">
        <f>+OPEX!T22*HIPOTESIS!R27</f>
        <v>1598400000</v>
      </c>
      <c r="S83" s="219">
        <f>+OPEX!U22*HIPOTESIS!S27</f>
        <v>1598400000</v>
      </c>
      <c r="T83" s="219">
        <f>+OPEX!V22*HIPOTESIS!T27</f>
        <v>1598400000</v>
      </c>
      <c r="U83" s="219">
        <f>+OPEX!W22*HIPOTESIS!U27</f>
        <v>1598400000</v>
      </c>
      <c r="V83" s="219">
        <f>+OPEX!X22*HIPOTESIS!V27</f>
        <v>1598400000</v>
      </c>
      <c r="W83" s="215">
        <f t="shared" si="33"/>
        <v>31968000000</v>
      </c>
      <c r="X83" s="216"/>
      <c r="Y83" s="216"/>
      <c r="Z83" s="216"/>
    </row>
    <row r="84" spans="2:26" s="187" customFormat="1" ht="12.75" customHeight="1" x14ac:dyDescent="0.3">
      <c r="B84" s="299" t="s">
        <v>114</v>
      </c>
      <c r="C84" s="292">
        <f>IF(CONTROL!$G$32="NO",+'PRESTAMO '!$D$13+'PRESTAMO '!$D$9,0)</f>
        <v>0</v>
      </c>
      <c r="D84" s="218">
        <f>IF(CONTROL!G32="NO",'PRESTAMO '!$D14,'PRESTAMO '!D13+'PRESTAMO '!D9)</f>
        <v>5793347297.1925392</v>
      </c>
      <c r="E84" s="218">
        <f>IF(CONTROL!$G$32="NO",'PRESTAMO '!$D15,'PRESTAMO '!$D$14)</f>
        <v>5560002097.0825396</v>
      </c>
      <c r="F84" s="218">
        <f>IF(CONTROL!$G$32="NO",'PRESTAMO '!$D16,'PRESTAMO '!$D$15)</f>
        <v>5560002097.0825396</v>
      </c>
      <c r="G84" s="218">
        <f>IF(CONTROL!$G$32="NO",'PRESTAMO '!$D17,'PRESTAMO '!$D$16)</f>
        <v>5560002097.0825396</v>
      </c>
      <c r="H84" s="218">
        <f>IF(CONTROL!$G$32="NO",'PRESTAMO '!$D18,'PRESTAMO '!$D$17)</f>
        <v>5560002097.0825396</v>
      </c>
      <c r="I84" s="218">
        <f>IF(CONTROL!$G$32="NO",'PRESTAMO '!$D19,'PRESTAMO '!$D$18)</f>
        <v>5560002097.0825396</v>
      </c>
      <c r="J84" s="218" t="str">
        <f>IF(CONTROL!$G$32="NO",'PRESTAMO '!$D20,'PRESTAMO '!$D$19)</f>
        <v/>
      </c>
      <c r="K84" s="218" t="str">
        <f>IF(CONTROL!$G$32="NO",'PRESTAMO '!$D21,'PRESTAMO '!$D$20)</f>
        <v/>
      </c>
      <c r="L84" s="218" t="str">
        <f>IF(CONTROL!$G$32="NO",'PRESTAMO '!$D22,'PRESTAMO '!$D$21)</f>
        <v/>
      </c>
      <c r="M84" s="218" t="str">
        <f>IF(CONTROL!$G$32="NO",'PRESTAMO '!$D23,'PRESTAMO '!$D$22)</f>
        <v/>
      </c>
      <c r="N84" s="218" t="str">
        <f>IF(CONTROL!$G$32="NO",'PRESTAMO '!$D24,'PRESTAMO '!$D$23)</f>
        <v/>
      </c>
      <c r="O84" s="218" t="str">
        <f>IF(CONTROL!$G$32="NO",'PRESTAMO '!$D25,'PRESTAMO '!$D$24)</f>
        <v/>
      </c>
      <c r="P84" s="218" t="str">
        <f>IF(CONTROL!$G$32="NO",'PRESTAMO '!$D26,'PRESTAMO '!$D$25)</f>
        <v/>
      </c>
      <c r="Q84" s="218" t="str">
        <f>IF(CONTROL!$G$32="NO",'PRESTAMO '!$D27,'PRESTAMO '!$D$26)</f>
        <v/>
      </c>
      <c r="R84" s="292" t="str">
        <f>IF(CONTROL!$C$12=2,IF(CONTROL!$G$32="NO",'PRESTAMO '!$D28,'PRESTAMO '!$D27),0)</f>
        <v/>
      </c>
      <c r="S84" s="292" t="str">
        <f>IF(CONTROL!$C$12=2,IF(CONTROL!$G$32="NO",'PRESTAMO '!$D29,'PRESTAMO '!$D28),0)</f>
        <v/>
      </c>
      <c r="T84" s="292" t="str">
        <f>IF(CONTROL!$C$12=2,IF(CONTROL!$G$32="NO",'PRESTAMO '!$D30,'PRESTAMO '!$D29),0)</f>
        <v/>
      </c>
      <c r="U84" s="292" t="str">
        <f>IF(CONTROL!$C$12=2,IF(CONTROL!$G$32="NO",'PRESTAMO '!$D31,'PRESTAMO '!$D30),0)</f>
        <v/>
      </c>
      <c r="V84" s="292" t="str">
        <f>IF(CONTROL!$C$12=2,IF(CONTROL!$G$32="NO",'PRESTAMO '!$D32,'PRESTAMO '!$D31),0)</f>
        <v/>
      </c>
      <c r="W84" s="215">
        <f t="shared" si="33"/>
        <v>33593357782.605232</v>
      </c>
    </row>
    <row r="85" spans="2:26" s="187" customFormat="1" ht="12.75" customHeight="1" x14ac:dyDescent="0.3">
      <c r="B85" s="299" t="s">
        <v>132</v>
      </c>
      <c r="C85" s="218">
        <f>+IMPUESTOS!D41</f>
        <v>0</v>
      </c>
      <c r="D85" s="218">
        <f>+IMPUESTOS!E41</f>
        <v>253536197.45667028</v>
      </c>
      <c r="E85" s="218">
        <f>+IMPUESTOS!F41</f>
        <v>2598841275.6801848</v>
      </c>
      <c r="F85" s="218">
        <f>+IMPUESTOS!G41</f>
        <v>1169175593.0913811</v>
      </c>
      <c r="G85" s="218">
        <f>+IMPUESTOS!H41</f>
        <v>2968174788.1129489</v>
      </c>
      <c r="H85" s="218">
        <f>+IMPUESTOS!I41</f>
        <v>2397032388.7372274</v>
      </c>
      <c r="I85" s="218">
        <f>+IMPUESTOS!J41</f>
        <v>1575013568.6199074</v>
      </c>
      <c r="J85" s="218">
        <f>+IMPUESTOS!K41</f>
        <v>1786595340.9238596</v>
      </c>
      <c r="K85" s="218">
        <f>+IMPUESTOS!L41</f>
        <v>3031962582.9258556</v>
      </c>
      <c r="L85" s="218">
        <f>+IMPUESTOS!M41</f>
        <v>5311305718.2209692</v>
      </c>
      <c r="M85" s="218">
        <f>+IMPUESTOS!N41</f>
        <v>5542506833.5253487</v>
      </c>
      <c r="N85" s="218">
        <f>+IMPUESTOS!O41</f>
        <v>5780643982.2888603</v>
      </c>
      <c r="O85" s="218">
        <f>+IMPUESTOS!P41</f>
        <v>6025925245.515276</v>
      </c>
      <c r="P85" s="218">
        <f>+IMPUESTOS!Q41</f>
        <v>6278564946.6384878</v>
      </c>
      <c r="Q85" s="218">
        <f>+IMPUESTOS!R41</f>
        <v>6538783838.7953939</v>
      </c>
      <c r="R85" s="218">
        <f>+IMPUESTOS!S41</f>
        <v>6806809297.7170057</v>
      </c>
      <c r="S85" s="218">
        <f>+IMPUESTOS!T41</f>
        <v>7082875520.4062681</v>
      </c>
      <c r="T85" s="218">
        <f>+IMPUESTOS!U41</f>
        <v>7367223729.7762079</v>
      </c>
      <c r="U85" s="218">
        <f>+IMPUESTOS!V41</f>
        <v>7660102385.427247</v>
      </c>
      <c r="V85" s="218">
        <f>+IMPUESTOS!W41</f>
        <v>7961767400.7478151</v>
      </c>
      <c r="W85" s="215">
        <f t="shared" si="33"/>
        <v>88136840634.606918</v>
      </c>
    </row>
    <row r="86" spans="2:26" s="187" customFormat="1" ht="12.75" customHeight="1" x14ac:dyDescent="0.3">
      <c r="B86" s="299" t="s">
        <v>75</v>
      </c>
      <c r="C86" s="218">
        <f>+IMPUESTOS!D26</f>
        <v>0</v>
      </c>
      <c r="D86" s="218">
        <f>+IMPUESTOS!E26</f>
        <v>4043714752.4096427</v>
      </c>
      <c r="E86" s="218">
        <f>+IMPUESTOS!F26</f>
        <v>5789245175.5460672</v>
      </c>
      <c r="F86" s="218">
        <f>+IMPUESTOS!G26</f>
        <v>4471424393.6397171</v>
      </c>
      <c r="G86" s="218">
        <f>+IMPUESTOS!H26</f>
        <v>4398954591.3758354</v>
      </c>
      <c r="H86" s="218">
        <f>+IMPUESTOS!I26</f>
        <v>4413333511.1661625</v>
      </c>
      <c r="I86" s="218">
        <f>+IMPUESTOS!J26</f>
        <v>4514023037.3699017</v>
      </c>
      <c r="J86" s="218">
        <f>+IMPUESTOS!K26</f>
        <v>4608243159.54634</v>
      </c>
      <c r="K86" s="218">
        <f>+IMPUESTOS!L26</f>
        <v>4669888737.768878</v>
      </c>
      <c r="L86" s="218">
        <f>+IMPUESTOS!M26</f>
        <v>5027345115.8449755</v>
      </c>
      <c r="M86" s="218">
        <f>+IMPUESTOS!N26</f>
        <v>5395525185.2633572</v>
      </c>
      <c r="N86" s="218">
        <f>+IMPUESTOS!O26</f>
        <v>5774750656.7642899</v>
      </c>
      <c r="O86" s="218">
        <f>+IMPUESTOS!P26</f>
        <v>6165352892.4102535</v>
      </c>
      <c r="P86" s="218">
        <f>+IMPUESTOS!Q26</f>
        <v>6567673195.1255922</v>
      </c>
      <c r="Q86" s="218">
        <f>+IMPUESTOS!R26</f>
        <v>6982063106.9223938</v>
      </c>
      <c r="R86" s="218">
        <f>+IMPUESTOS!S26</f>
        <v>7408884716.0731001</v>
      </c>
      <c r="S86" s="218">
        <f>+IMPUESTOS!T26</f>
        <v>7756913606.0809708</v>
      </c>
      <c r="T86" s="218">
        <f>+IMPUESTOS!U26</f>
        <v>7965469004.7826691</v>
      </c>
      <c r="U86" s="218">
        <f>+IMPUESTOS!V26</f>
        <v>7882284296.780962</v>
      </c>
      <c r="V86" s="218">
        <f>+IMPUESTOS!W26</f>
        <v>6897117899.5007725</v>
      </c>
      <c r="W86" s="215">
        <f t="shared" si="33"/>
        <v>110732207034.3719</v>
      </c>
    </row>
    <row r="87" spans="2:26" s="187" customFormat="1" ht="12.75" customHeight="1" x14ac:dyDescent="0.3">
      <c r="B87" s="299" t="s">
        <v>133</v>
      </c>
      <c r="C87" s="218">
        <f>+IMPUESTOS!D16</f>
        <v>0</v>
      </c>
      <c r="D87" s="218">
        <f>+IMPUESTOS!E16</f>
        <v>724255140.49586785</v>
      </c>
      <c r="E87" s="218">
        <f>+IMPUESTOS!F16</f>
        <v>745982794.7107439</v>
      </c>
      <c r="F87" s="218">
        <f>+IMPUESTOS!G16</f>
        <v>768362278.55206621</v>
      </c>
      <c r="G87" s="218">
        <f>+IMPUESTOS!H16</f>
        <v>791413146.90862823</v>
      </c>
      <c r="H87" s="218">
        <f>+IMPUESTOS!I16</f>
        <v>815155541.31588697</v>
      </c>
      <c r="I87" s="218">
        <f>+IMPUESTOS!J16</f>
        <v>839610207.55536366</v>
      </c>
      <c r="J87" s="218">
        <f>+IMPUESTOS!K16</f>
        <v>864798513.78202462</v>
      </c>
      <c r="K87" s="218">
        <f>+IMPUESTOS!L16</f>
        <v>890742469.19548559</v>
      </c>
      <c r="L87" s="218">
        <f>+IMPUESTOS!M16</f>
        <v>917464743.27134991</v>
      </c>
      <c r="M87" s="218">
        <f>+IMPUESTOS!N16</f>
        <v>944988685.56949043</v>
      </c>
      <c r="N87" s="218">
        <f>+IMPUESTOS!O16</f>
        <v>973338346.13657522</v>
      </c>
      <c r="O87" s="218">
        <f>+IMPUESTOS!P16</f>
        <v>1002538496.5206724</v>
      </c>
      <c r="P87" s="218">
        <f>+IMPUESTOS!Q16</f>
        <v>1032614651.4162927</v>
      </c>
      <c r="Q87" s="218">
        <f>+IMPUESTOS!R16</f>
        <v>1063593090.9587815</v>
      </c>
      <c r="R87" s="218">
        <f>+IMPUESTOS!S16</f>
        <v>1095500883.6875451</v>
      </c>
      <c r="S87" s="218">
        <f>+IMPUESTOS!T16</f>
        <v>1128365910.1981714</v>
      </c>
      <c r="T87" s="218">
        <f>+IMPUESTOS!U16</f>
        <v>1162216887.5041165</v>
      </c>
      <c r="U87" s="218">
        <f>+IMPUESTOS!V16</f>
        <v>1197083394.12924</v>
      </c>
      <c r="V87" s="218">
        <f>+IMPUESTOS!W16</f>
        <v>1232995895.9531174</v>
      </c>
      <c r="W87" s="215">
        <f t="shared" si="33"/>
        <v>18191021077.86142</v>
      </c>
    </row>
    <row r="88" spans="2:26" s="187" customFormat="1" ht="12.75" customHeight="1" x14ac:dyDescent="0.3">
      <c r="B88" s="299" t="s">
        <v>134</v>
      </c>
      <c r="C88" s="218">
        <f>+IMPUESTOS!D22</f>
        <v>0</v>
      </c>
      <c r="D88" s="218">
        <f>+IMPUESTOS!E22</f>
        <v>144851028.09917358</v>
      </c>
      <c r="E88" s="218">
        <f>+IMPUESTOS!F22</f>
        <v>149196558.94214877</v>
      </c>
      <c r="F88" s="218">
        <f>+IMPUESTOS!G22</f>
        <v>153672455.71041322</v>
      </c>
      <c r="G88" s="218">
        <f>+IMPUESTOS!H22</f>
        <v>158282629.38172564</v>
      </c>
      <c r="H88" s="218">
        <f>+IMPUESTOS!I22</f>
        <v>163031108.26317739</v>
      </c>
      <c r="I88" s="218">
        <f>+IMPUESTOS!J22</f>
        <v>167922041.51107273</v>
      </c>
      <c r="J88" s="218">
        <f>+IMPUESTOS!K22</f>
        <v>172959702.75640491</v>
      </c>
      <c r="K88" s="218">
        <f>+IMPUESTOS!L22</f>
        <v>178148493.83909711</v>
      </c>
      <c r="L88" s="218">
        <f>+IMPUESTOS!M22</f>
        <v>183492948.65426999</v>
      </c>
      <c r="M88" s="218">
        <f>+IMPUESTOS!N22</f>
        <v>188997737.1138981</v>
      </c>
      <c r="N88" s="218">
        <f>+IMPUESTOS!O22</f>
        <v>194667669.22731504</v>
      </c>
      <c r="O88" s="218">
        <f>+IMPUESTOS!P22</f>
        <v>200507699.30413449</v>
      </c>
      <c r="P88" s="218">
        <f>+IMPUESTOS!Q22</f>
        <v>206522930.28325853</v>
      </c>
      <c r="Q88" s="218">
        <f>+IMPUESTOS!R22</f>
        <v>212718618.19175628</v>
      </c>
      <c r="R88" s="218">
        <f>+IMPUESTOS!S22</f>
        <v>219100176.73750901</v>
      </c>
      <c r="S88" s="218">
        <f>+IMPUESTOS!T22</f>
        <v>225673182.03963429</v>
      </c>
      <c r="T88" s="218">
        <f>+IMPUESTOS!U22</f>
        <v>232443377.50082329</v>
      </c>
      <c r="U88" s="218">
        <f>+IMPUESTOS!V22</f>
        <v>239416678.82584801</v>
      </c>
      <c r="V88" s="218">
        <f>+IMPUESTOS!W22</f>
        <v>246599179.19062349</v>
      </c>
      <c r="W88" s="215">
        <f t="shared" si="33"/>
        <v>3638204215.5722833</v>
      </c>
    </row>
    <row r="89" spans="2:26" s="187" customFormat="1" ht="12.75" customHeight="1" x14ac:dyDescent="0.3">
      <c r="B89" s="299" t="s">
        <v>89</v>
      </c>
      <c r="C89" s="218">
        <f>+IMPUESTOS!D20</f>
        <v>462833454.76363641</v>
      </c>
      <c r="D89" s="218">
        <f>+IMPUESTOS!E20</f>
        <v>462833454.76363641</v>
      </c>
      <c r="E89" s="218">
        <f>+IMPUESTOS!F20</f>
        <v>462833454.76363641</v>
      </c>
      <c r="F89" s="218">
        <f>+IMPUESTOS!G20</f>
        <v>462833454.76363641</v>
      </c>
      <c r="G89" s="218">
        <f>+IMPUESTOS!H20</f>
        <v>462833454.76363641</v>
      </c>
      <c r="H89" s="218">
        <f>+IMPUESTOS!I20</f>
        <v>0</v>
      </c>
      <c r="I89" s="218">
        <f>+IMPUESTOS!J20</f>
        <v>0</v>
      </c>
      <c r="J89" s="218">
        <f>+IMPUESTOS!K20</f>
        <v>0</v>
      </c>
      <c r="K89" s="218">
        <f>+IMPUESTOS!L20</f>
        <v>0</v>
      </c>
      <c r="L89" s="218">
        <f>+IMPUESTOS!M20</f>
        <v>0</v>
      </c>
      <c r="M89" s="218">
        <f>+IMPUESTOS!N20</f>
        <v>0</v>
      </c>
      <c r="N89" s="218">
        <f>+IMPUESTOS!O20</f>
        <v>0</v>
      </c>
      <c r="O89" s="218">
        <f>+IMPUESTOS!P20</f>
        <v>0</v>
      </c>
      <c r="P89" s="218">
        <f>+IMPUESTOS!Q20</f>
        <v>0</v>
      </c>
      <c r="Q89" s="218">
        <f>+IMPUESTOS!R20</f>
        <v>0</v>
      </c>
      <c r="R89" s="218">
        <f>+IMPUESTOS!S20</f>
        <v>0</v>
      </c>
      <c r="S89" s="218">
        <f>+IMPUESTOS!T20</f>
        <v>0</v>
      </c>
      <c r="T89" s="218">
        <f>+IMPUESTOS!U20</f>
        <v>0</v>
      </c>
      <c r="U89" s="218">
        <f>+IMPUESTOS!V20</f>
        <v>0</v>
      </c>
      <c r="V89" s="218">
        <f>+IMPUESTOS!W20</f>
        <v>0</v>
      </c>
      <c r="W89" s="215">
        <f t="shared" si="33"/>
        <v>2314167273.818182</v>
      </c>
    </row>
    <row r="90" spans="2:26" s="187" customFormat="1" ht="12.75" customHeight="1" x14ac:dyDescent="0.3">
      <c r="B90" s="299" t="s">
        <v>135</v>
      </c>
      <c r="C90" s="218">
        <f>+IMPUESTOS!D24</f>
        <v>280014240.13200003</v>
      </c>
      <c r="D90" s="218">
        <f>+IMPUESTOS!E24</f>
        <v>420647385.60000002</v>
      </c>
      <c r="E90" s="218">
        <f>+IMPUESTOS!F24</f>
        <v>433266807.16799998</v>
      </c>
      <c r="F90" s="218">
        <f>+IMPUESTOS!G24</f>
        <v>446264811.38304001</v>
      </c>
      <c r="G90" s="218">
        <f>+IMPUESTOS!H24</f>
        <v>459652755.72453123</v>
      </c>
      <c r="H90" s="218">
        <f>+IMPUESTOS!I24</f>
        <v>473442338.39626712</v>
      </c>
      <c r="I90" s="218">
        <f>+IMPUESTOS!J24</f>
        <v>487645608.54815519</v>
      </c>
      <c r="J90" s="218">
        <f>+IMPUESTOS!K24</f>
        <v>502274976.80459988</v>
      </c>
      <c r="K90" s="218">
        <f>+IMPUESTOS!L24</f>
        <v>517343226.10873795</v>
      </c>
      <c r="L90" s="218">
        <f>+IMPUESTOS!M24</f>
        <v>532863522.89200002</v>
      </c>
      <c r="M90" s="218">
        <f>+IMPUESTOS!N24</f>
        <v>548849428.57876003</v>
      </c>
      <c r="N90" s="218">
        <f>+IMPUESTOS!O24</f>
        <v>565314911.43612278</v>
      </c>
      <c r="O90" s="218">
        <f>+IMPUESTOS!P24</f>
        <v>582274358.77920651</v>
      </c>
      <c r="P90" s="218">
        <f>+IMPUESTOS!Q24</f>
        <v>599742589.54258275</v>
      </c>
      <c r="Q90" s="218">
        <f>+IMPUESTOS!R24</f>
        <v>617734867.22886026</v>
      </c>
      <c r="R90" s="218">
        <f>+IMPUESTOS!S24</f>
        <v>636266913.24572611</v>
      </c>
      <c r="S90" s="218">
        <f>+IMPUESTOS!T24</f>
        <v>655354920.64309788</v>
      </c>
      <c r="T90" s="218">
        <f>+IMPUESTOS!U24</f>
        <v>675015568.26239085</v>
      </c>
      <c r="U90" s="218">
        <f>+IMPUESTOS!V24</f>
        <v>695266035.31026256</v>
      </c>
      <c r="V90" s="218">
        <f>+IMPUESTOS!W24</f>
        <v>716124016.36957049</v>
      </c>
      <c r="W90" s="215">
        <f t="shared" si="33"/>
        <v>10845359282.153908</v>
      </c>
    </row>
    <row r="91" spans="2:26" ht="13.5" customHeight="1" x14ac:dyDescent="0.3">
      <c r="B91" s="300" t="s">
        <v>136</v>
      </c>
      <c r="C91" s="235">
        <f t="shared" ref="C91:Q91" si="34">SUM(C80:C90)</f>
        <v>6336758554.8956366</v>
      </c>
      <c r="D91" s="235">
        <f t="shared" si="34"/>
        <v>17437096116.017532</v>
      </c>
      <c r="E91" s="235">
        <f t="shared" si="34"/>
        <v>22749421463.893322</v>
      </c>
      <c r="F91" s="235">
        <f t="shared" si="34"/>
        <v>23582144484.222797</v>
      </c>
      <c r="G91" s="235">
        <f t="shared" si="34"/>
        <v>25349722863.349846</v>
      </c>
      <c r="H91" s="235">
        <f t="shared" si="34"/>
        <v>24372406384.961262</v>
      </c>
      <c r="I91" s="235">
        <f t="shared" si="34"/>
        <v>23694625960.686943</v>
      </c>
      <c r="J91" s="235">
        <f t="shared" si="34"/>
        <v>18485281093.813229</v>
      </c>
      <c r="K91" s="235">
        <f t="shared" si="34"/>
        <v>19838494909.838051</v>
      </c>
      <c r="L91" s="235">
        <f t="shared" si="34"/>
        <v>22522881448.883564</v>
      </c>
      <c r="M91" s="235">
        <f t="shared" si="34"/>
        <v>23171277270.05085</v>
      </c>
      <c r="N91" s="235">
        <f t="shared" si="34"/>
        <v>23839124965.853161</v>
      </c>
      <c r="O91" s="235">
        <f t="shared" si="34"/>
        <v>24527008092.529541</v>
      </c>
      <c r="P91" s="235">
        <f t="shared" si="34"/>
        <v>25235527713.006218</v>
      </c>
      <c r="Q91" s="235">
        <f t="shared" si="34"/>
        <v>25965302922.097187</v>
      </c>
      <c r="R91" s="301">
        <f>IF(CONTROL!$C$12=2,SUM(R80:R90),0)</f>
        <v>26716971387.460892</v>
      </c>
      <c r="S91" s="301">
        <f>IF(CONTROL!$C$12=2,SUM(S80:S90),0)</f>
        <v>27399592539.368141</v>
      </c>
      <c r="T91" s="301">
        <f>IF(CONTROL!$C$12=2,SUM(T80:T90),0)</f>
        <v>27952777967.826206</v>
      </c>
      <c r="U91" s="301">
        <f>IF(CONTROL!$C$12=2,SUM(U80:U90),0)</f>
        <v>28224562190.473557</v>
      </c>
      <c r="V91" s="301">
        <f>IF(CONTROL!$C$12=2,SUM(V80:V90),0)</f>
        <v>27605013791.761902</v>
      </c>
      <c r="W91" s="235">
        <f t="shared" si="33"/>
        <v>465005992120.98987</v>
      </c>
    </row>
    <row r="92" spans="2:26" ht="14.25" customHeight="1" x14ac:dyDescent="0.3">
      <c r="C92" s="224"/>
      <c r="D92" s="224"/>
      <c r="E92" s="224"/>
      <c r="F92" s="224"/>
      <c r="G92" s="224"/>
      <c r="H92" s="224"/>
      <c r="I92" s="224"/>
      <c r="J92" s="224"/>
      <c r="K92" s="224"/>
      <c r="L92" s="224"/>
      <c r="M92" s="224"/>
      <c r="N92" s="224"/>
      <c r="O92" s="224"/>
      <c r="P92" s="224"/>
      <c r="Q92" s="224"/>
      <c r="R92" s="224"/>
      <c r="S92" s="224"/>
      <c r="T92" s="224"/>
      <c r="U92" s="224"/>
      <c r="V92" s="224"/>
      <c r="W92" s="225"/>
    </row>
    <row r="93" spans="2:26" ht="16.5" customHeight="1" x14ac:dyDescent="0.3">
      <c r="B93" s="208" t="s">
        <v>137</v>
      </c>
      <c r="C93" s="221">
        <f t="shared" ref="C93:V93" si="35">C77-C91-C99</f>
        <v>16897761456.104362</v>
      </c>
      <c r="D93" s="221">
        <f t="shared" si="35"/>
        <v>17516852683.982468</v>
      </c>
      <c r="E93" s="221">
        <f t="shared" si="35"/>
        <v>13256145800.106678</v>
      </c>
      <c r="F93" s="221">
        <f t="shared" si="35"/>
        <v>13506589797.697201</v>
      </c>
      <c r="G93" s="221">
        <f t="shared" si="35"/>
        <v>12854673447.027756</v>
      </c>
      <c r="H93" s="221">
        <f t="shared" si="35"/>
        <v>14981121814.727665</v>
      </c>
      <c r="I93" s="221">
        <f t="shared" si="35"/>
        <v>16842508084.992653</v>
      </c>
      <c r="J93" s="221">
        <f t="shared" si="35"/>
        <v>23270966973.236759</v>
      </c>
      <c r="K93" s="221">
        <f t="shared" si="35"/>
        <v>23173440599.223442</v>
      </c>
      <c r="L93" s="221">
        <f t="shared" si="35"/>
        <v>21782412125.449772</v>
      </c>
      <c r="M93" s="221">
        <f t="shared" si="35"/>
        <v>22466175111.512482</v>
      </c>
      <c r="N93" s="221">
        <f t="shared" si="35"/>
        <v>23170450987.15707</v>
      </c>
      <c r="O93" s="221">
        <f t="shared" si="35"/>
        <v>23895855139.070999</v>
      </c>
      <c r="P93" s="221">
        <f t="shared" si="35"/>
        <v>24643021415.542343</v>
      </c>
      <c r="Q93" s="221">
        <f t="shared" si="35"/>
        <v>25412602680.307835</v>
      </c>
      <c r="R93" s="221">
        <f t="shared" si="35"/>
        <v>26205271383.016281</v>
      </c>
      <c r="S93" s="221">
        <f t="shared" si="35"/>
        <v>27113317514.223351</v>
      </c>
      <c r="T93" s="221">
        <f t="shared" si="35"/>
        <v>28198519387.373028</v>
      </c>
      <c r="U93" s="221">
        <f t="shared" si="35"/>
        <v>29614274085.38166</v>
      </c>
      <c r="V93" s="221">
        <f t="shared" si="35"/>
        <v>31971987572.368973</v>
      </c>
      <c r="W93" s="223">
        <f>+SUM(C93:V93)</f>
        <v>436773948058.50281</v>
      </c>
    </row>
    <row r="94" spans="2:26" ht="13.5" customHeight="1" x14ac:dyDescent="0.3">
      <c r="B94" s="217" t="s">
        <v>118</v>
      </c>
      <c r="C94" s="302">
        <f>+CAPEX!D17*HIPOTESIS!C31</f>
        <v>19772430000</v>
      </c>
      <c r="D94" s="302">
        <f>+CAPEX!E17*HIPOTESIS!D31</f>
        <v>0</v>
      </c>
      <c r="E94" s="302">
        <f>+CAPEX!F17*HIPOTESIS!E31</f>
        <v>0</v>
      </c>
      <c r="F94" s="302">
        <f>+CAPEX!G17*HIPOTESIS!F31</f>
        <v>0</v>
      </c>
      <c r="G94" s="302">
        <f>+CAPEX!H17*HIPOTESIS!G31</f>
        <v>0</v>
      </c>
      <c r="H94" s="302">
        <f>+CAPEX!I17*HIPOTESIS!H31</f>
        <v>0</v>
      </c>
      <c r="I94" s="302">
        <f>+CAPEX!J17*HIPOTESIS!I31</f>
        <v>0</v>
      </c>
      <c r="J94" s="302">
        <f>+CAPEX!K17*HIPOTESIS!J31</f>
        <v>0</v>
      </c>
      <c r="K94" s="302">
        <f>+CAPEX!L17*HIPOTESIS!K31</f>
        <v>0</v>
      </c>
      <c r="L94" s="302">
        <f>+CAPEX!M17*HIPOTESIS!L31</f>
        <v>0</v>
      </c>
      <c r="M94" s="302">
        <f>+CAPEX!N17*HIPOTESIS!M31</f>
        <v>0</v>
      </c>
      <c r="N94" s="302">
        <f>+CAPEX!O17*HIPOTESIS!N31</f>
        <v>0</v>
      </c>
      <c r="O94" s="302">
        <f>+CAPEX!P17*HIPOTESIS!O31</f>
        <v>0</v>
      </c>
      <c r="P94" s="302">
        <f>+CAPEX!Q17*HIPOTESIS!P31</f>
        <v>0</v>
      </c>
      <c r="Q94" s="302">
        <f>+CAPEX!R17*HIPOTESIS!Q31</f>
        <v>0</v>
      </c>
      <c r="R94" s="302">
        <f>+CAPEX!S17*HIPOTESIS!R31</f>
        <v>0</v>
      </c>
      <c r="S94" s="302">
        <f>+CAPEX!T17*HIPOTESIS!S31</f>
        <v>0</v>
      </c>
      <c r="T94" s="302">
        <f>+CAPEX!U17*HIPOTESIS!T31</f>
        <v>0</v>
      </c>
      <c r="U94" s="302">
        <f>+CAPEX!V17*HIPOTESIS!U31</f>
        <v>0</v>
      </c>
      <c r="V94" s="302">
        <f>+CAPEX!W17*HIPOTESIS!V31</f>
        <v>0</v>
      </c>
      <c r="W94" s="215">
        <f>+SUM(C94:V94)</f>
        <v>19772430000</v>
      </c>
      <c r="X94" s="216"/>
      <c r="Y94" s="216"/>
    </row>
    <row r="95" spans="2:26" ht="12.75" customHeight="1" x14ac:dyDescent="0.3">
      <c r="B95" s="217" t="s">
        <v>48</v>
      </c>
      <c r="C95" s="219">
        <f>+CAPEX!D18*HIPOTESIS!C32</f>
        <v>0</v>
      </c>
      <c r="D95" s="219">
        <f>+CAPEX!E18*HIPOTESIS!D32</f>
        <v>0</v>
      </c>
      <c r="E95" s="219">
        <f>+CAPEX!F18*HIPOTESIS!E32</f>
        <v>9990000000</v>
      </c>
      <c r="F95" s="219">
        <f>+CAPEX!G18*HIPOTESIS!F32</f>
        <v>16650000000</v>
      </c>
      <c r="G95" s="219">
        <f>+CAPEX!H18*HIPOTESIS!G32</f>
        <v>7400000000</v>
      </c>
      <c r="H95" s="219">
        <f>+CAPEX!I18*HIPOTESIS!H32</f>
        <v>11840000000</v>
      </c>
      <c r="I95" s="219">
        <f>+CAPEX!J18*HIPOTESIS!I32</f>
        <v>17760000000</v>
      </c>
      <c r="J95" s="219">
        <f>+CAPEX!K18*HIPOTESIS!J32</f>
        <v>17760000000</v>
      </c>
      <c r="K95" s="219">
        <f>+CAPEX!L18*HIPOTESIS!K32</f>
        <v>11840000000</v>
      </c>
      <c r="L95" s="219">
        <f>+CAPEX!M18*HIPOTESIS!L32</f>
        <v>0</v>
      </c>
      <c r="M95" s="219">
        <f>+CAPEX!N18*HIPOTESIS!M32</f>
        <v>0</v>
      </c>
      <c r="N95" s="219">
        <f>+CAPEX!O18*HIPOTESIS!N32</f>
        <v>0</v>
      </c>
      <c r="O95" s="219">
        <f>+CAPEX!P18*HIPOTESIS!O32</f>
        <v>0</v>
      </c>
      <c r="P95" s="219">
        <f>+CAPEX!Q18*HIPOTESIS!P32</f>
        <v>0</v>
      </c>
      <c r="Q95" s="219">
        <f>+CAPEX!R18*HIPOTESIS!Q32</f>
        <v>0</v>
      </c>
      <c r="R95" s="219">
        <f>+CAPEX!S18*HIPOTESIS!R32</f>
        <v>0</v>
      </c>
      <c r="S95" s="219">
        <f>+CAPEX!T18*HIPOTESIS!S32</f>
        <v>0</v>
      </c>
      <c r="T95" s="219">
        <f>+CAPEX!U18*HIPOTESIS!T32</f>
        <v>0</v>
      </c>
      <c r="U95" s="219">
        <f>+CAPEX!V18*HIPOTESIS!U32</f>
        <v>0</v>
      </c>
      <c r="V95" s="219">
        <f>+CAPEX!W18*HIPOTESIS!V32</f>
        <v>0</v>
      </c>
      <c r="W95" s="215">
        <f>+SUM(C95:V95)</f>
        <v>93240000000</v>
      </c>
      <c r="X95" s="216"/>
      <c r="Y95" s="216"/>
    </row>
    <row r="96" spans="2:26" ht="13.5" customHeight="1" x14ac:dyDescent="0.3">
      <c r="B96" s="217" t="s">
        <v>50</v>
      </c>
      <c r="C96" s="219">
        <f>+CAPEX!D19*HIPOTESIS!C33</f>
        <v>0</v>
      </c>
      <c r="D96" s="219">
        <f>+CAPEX!E19*HIPOTESIS!D33</f>
        <v>6333303690.000001</v>
      </c>
      <c r="E96" s="219">
        <f>+CAPEX!F19*HIPOTESIS!E33</f>
        <v>6333303690.000001</v>
      </c>
      <c r="F96" s="219">
        <f>+CAPEX!G19*HIPOTESIS!F33</f>
        <v>6333303690.000001</v>
      </c>
      <c r="G96" s="219">
        <f>+CAPEX!H19*HIPOTESIS!G33</f>
        <v>6333303690.000001</v>
      </c>
      <c r="H96" s="219">
        <f>+CAPEX!I19*HIPOTESIS!H33</f>
        <v>6333303690.000001</v>
      </c>
      <c r="I96" s="219">
        <f>+CAPEX!J19*HIPOTESIS!I33</f>
        <v>6333303690.000001</v>
      </c>
      <c r="J96" s="219">
        <f>+CAPEX!K19*HIPOTESIS!J33</f>
        <v>6333303690.000001</v>
      </c>
      <c r="K96" s="219">
        <f>+CAPEX!L19*HIPOTESIS!K33</f>
        <v>6333303690.000001</v>
      </c>
      <c r="L96" s="219">
        <f>+CAPEX!M19*HIPOTESIS!L33</f>
        <v>6333303690.000001</v>
      </c>
      <c r="M96" s="219">
        <f>+CAPEX!N19*HIPOTESIS!M33</f>
        <v>6333303690.000001</v>
      </c>
      <c r="N96" s="219">
        <f>+CAPEX!O19*HIPOTESIS!N33</f>
        <v>6333303690.000001</v>
      </c>
      <c r="O96" s="219">
        <f>+CAPEX!P19*HIPOTESIS!O33</f>
        <v>6333303690.000001</v>
      </c>
      <c r="P96" s="219">
        <f>+CAPEX!Q19*HIPOTESIS!P33</f>
        <v>6333303690.000001</v>
      </c>
      <c r="Q96" s="219">
        <f>+CAPEX!R19*HIPOTESIS!Q33</f>
        <v>6333303690.000001</v>
      </c>
      <c r="R96" s="219">
        <f>+CAPEX!S19*HIPOTESIS!R33</f>
        <v>6333303690.000001</v>
      </c>
      <c r="S96" s="219">
        <f>+CAPEX!T19*HIPOTESIS!S33</f>
        <v>6333303690.000001</v>
      </c>
      <c r="T96" s="219">
        <f>+CAPEX!U19*HIPOTESIS!T33</f>
        <v>6333303690.000001</v>
      </c>
      <c r="U96" s="219">
        <f>+CAPEX!V19*HIPOTESIS!U33</f>
        <v>6333303690.000001</v>
      </c>
      <c r="V96" s="219">
        <f>+CAPEX!W19*HIPOTESIS!V33</f>
        <v>6333303690.000001</v>
      </c>
      <c r="W96" s="215">
        <f>+SUM(C96:V96)</f>
        <v>120332770110.00002</v>
      </c>
      <c r="X96" s="303"/>
      <c r="Y96" s="216"/>
    </row>
    <row r="97" spans="2:26" ht="16.5" customHeight="1" x14ac:dyDescent="0.3">
      <c r="B97" s="208" t="s">
        <v>117</v>
      </c>
      <c r="C97" s="221">
        <f t="shared" ref="C97:Q97" si="36">SUM(C94:C96)</f>
        <v>19772430000</v>
      </c>
      <c r="D97" s="221">
        <f t="shared" si="36"/>
        <v>6333303690.000001</v>
      </c>
      <c r="E97" s="221">
        <f t="shared" si="36"/>
        <v>16323303690</v>
      </c>
      <c r="F97" s="221">
        <f t="shared" si="36"/>
        <v>22983303690</v>
      </c>
      <c r="G97" s="221">
        <f t="shared" si="36"/>
        <v>13733303690</v>
      </c>
      <c r="H97" s="221">
        <f t="shared" si="36"/>
        <v>18173303690</v>
      </c>
      <c r="I97" s="221">
        <f t="shared" si="36"/>
        <v>24093303690</v>
      </c>
      <c r="J97" s="221">
        <f t="shared" si="36"/>
        <v>24093303690</v>
      </c>
      <c r="K97" s="221">
        <f t="shared" si="36"/>
        <v>18173303690</v>
      </c>
      <c r="L97" s="221">
        <f t="shared" si="36"/>
        <v>6333303690.000001</v>
      </c>
      <c r="M97" s="221">
        <f t="shared" si="36"/>
        <v>6333303690.000001</v>
      </c>
      <c r="N97" s="221">
        <f t="shared" si="36"/>
        <v>6333303690.000001</v>
      </c>
      <c r="O97" s="221">
        <f t="shared" si="36"/>
        <v>6333303690.000001</v>
      </c>
      <c r="P97" s="221">
        <f t="shared" si="36"/>
        <v>6333303690.000001</v>
      </c>
      <c r="Q97" s="221">
        <f t="shared" si="36"/>
        <v>6333303690.000001</v>
      </c>
      <c r="R97" s="222">
        <f>IF(CONTROL!$C$12=2,SUM(R94:R96),0)</f>
        <v>6333303690.000001</v>
      </c>
      <c r="S97" s="222">
        <f>IF(CONTROL!$C$12=2,SUM(S94:S96),0)</f>
        <v>6333303690.000001</v>
      </c>
      <c r="T97" s="222">
        <f>IF(CONTROL!$C$12=2,SUM(T94:T96),0)</f>
        <v>6333303690.000001</v>
      </c>
      <c r="U97" s="222">
        <f>IF(CONTROL!$C$12=2,SUM(U94:U96),0)</f>
        <v>6333303690.000001</v>
      </c>
      <c r="V97" s="222">
        <f>IF(CONTROL!$C$12=2,SUM(V94:V96),0)</f>
        <v>6333303690.000001</v>
      </c>
      <c r="W97" s="223">
        <f>+SUM(C97:V97)</f>
        <v>233345200110</v>
      </c>
      <c r="X97" s="216"/>
      <c r="Y97" s="216"/>
      <c r="Z97" s="216"/>
    </row>
    <row r="98" spans="2:26" ht="14.25" customHeight="1" x14ac:dyDescent="0.3">
      <c r="B98" s="238"/>
      <c r="C98" s="239"/>
      <c r="D98" s="239"/>
      <c r="E98" s="239"/>
      <c r="F98" s="239"/>
      <c r="G98" s="239"/>
      <c r="H98" s="239"/>
      <c r="I98" s="239"/>
      <c r="J98" s="239"/>
      <c r="K98" s="239"/>
      <c r="L98" s="239"/>
      <c r="M98" s="239"/>
      <c r="N98" s="239"/>
      <c r="O98" s="239"/>
      <c r="P98" s="239"/>
      <c r="Q98" s="239"/>
      <c r="R98" s="239"/>
      <c r="S98" s="239"/>
      <c r="T98" s="239"/>
      <c r="U98" s="239"/>
      <c r="V98" s="239"/>
      <c r="W98" s="225"/>
    </row>
    <row r="99" spans="2:26" ht="16.5" customHeight="1" x14ac:dyDescent="0.3">
      <c r="B99" s="208" t="s">
        <v>120</v>
      </c>
      <c r="C99" s="221">
        <f>+CONTROL!$F$44+CONTROL!$F$55</f>
        <v>100000000</v>
      </c>
      <c r="D99" s="221">
        <f>+CONTROL!$F$44+CONTROL!$F$55</f>
        <v>100000000</v>
      </c>
      <c r="E99" s="221">
        <f>+CONTROL!$F$44+CONTROL!$F$55</f>
        <v>100000000</v>
      </c>
      <c r="F99" s="221">
        <f>+CONTROL!$F$44+CONTROL!$F$55</f>
        <v>100000000</v>
      </c>
      <c r="G99" s="221">
        <f>+CONTROL!$F$44+CONTROL!$F$55</f>
        <v>100000000</v>
      </c>
      <c r="H99" s="221">
        <f>+CONTROL!$F$45+CONTROL!$F$56</f>
        <v>100000000</v>
      </c>
      <c r="I99" s="221">
        <f>+CONTROL!$F$45+CONTROL!$F$56</f>
        <v>100000000</v>
      </c>
      <c r="J99" s="221">
        <f>+CONTROL!$F$45+CONTROL!$F$56</f>
        <v>100000000</v>
      </c>
      <c r="K99" s="221">
        <f>+CONTROL!$F$45+CONTROL!$F$56</f>
        <v>100000000</v>
      </c>
      <c r="L99" s="221">
        <f>+CONTROL!$F$45+CONTROL!$F$56</f>
        <v>100000000</v>
      </c>
      <c r="M99" s="221">
        <f>+CONTROL!$F$45+CONTROL!$F$56</f>
        <v>100000000</v>
      </c>
      <c r="N99" s="221">
        <f>+CONTROL!$F$45+CONTROL!$F$56</f>
        <v>100000000</v>
      </c>
      <c r="O99" s="221">
        <f>+CONTROL!$F$45+CONTROL!$F$56</f>
        <v>100000000</v>
      </c>
      <c r="P99" s="221">
        <f>+CONTROL!$F$45+CONTROL!$F$56</f>
        <v>100000000</v>
      </c>
      <c r="Q99" s="221">
        <f>+CONTROL!$F$45+CONTROL!$F$56</f>
        <v>100000000</v>
      </c>
      <c r="R99" s="221">
        <f>+CONTROL!$F$45+CONTROL!$F$56</f>
        <v>100000000</v>
      </c>
      <c r="S99" s="221">
        <f>+CONTROL!$F$45+CONTROL!$F$56</f>
        <v>100000000</v>
      </c>
      <c r="T99" s="221">
        <f>+CONTROL!$F$45+CONTROL!$F$56</f>
        <v>100000000</v>
      </c>
      <c r="U99" s="221">
        <f>+CONTROL!$F$45+CONTROL!$F$56</f>
        <v>100000000</v>
      </c>
      <c r="V99" s="221">
        <f>+CONTROL!$F$45+CONTROL!$F$56</f>
        <v>100000000</v>
      </c>
      <c r="W99" s="223">
        <f>+SUM(C99:V99)</f>
        <v>2000000000</v>
      </c>
    </row>
    <row r="100" spans="2:26" ht="14.25" customHeight="1" x14ac:dyDescent="0.3">
      <c r="B100" s="238"/>
      <c r="C100" s="239"/>
      <c r="D100" s="239"/>
      <c r="E100" s="239"/>
      <c r="F100" s="239"/>
      <c r="G100" s="239"/>
      <c r="H100" s="239"/>
      <c r="I100" s="239"/>
      <c r="J100" s="239"/>
      <c r="K100" s="239"/>
      <c r="L100" s="239"/>
      <c r="M100" s="239"/>
      <c r="N100" s="239"/>
      <c r="O100" s="239"/>
      <c r="P100" s="239"/>
      <c r="Q100" s="239"/>
      <c r="R100" s="239"/>
      <c r="S100" s="239"/>
      <c r="T100" s="239"/>
      <c r="U100" s="239"/>
      <c r="V100" s="239"/>
      <c r="W100" s="225"/>
    </row>
    <row r="101" spans="2:26" ht="16.5" customHeight="1" x14ac:dyDescent="0.3">
      <c r="B101" s="208" t="s">
        <v>121</v>
      </c>
      <c r="C101" s="221">
        <f t="shared" ref="C101:W101" si="37">+C91+C97+C99</f>
        <v>26209188554.895638</v>
      </c>
      <c r="D101" s="221">
        <f t="shared" si="37"/>
        <v>23870399806.017532</v>
      </c>
      <c r="E101" s="221">
        <f t="shared" si="37"/>
        <v>39172725153.893326</v>
      </c>
      <c r="F101" s="221">
        <f t="shared" si="37"/>
        <v>46665448174.222794</v>
      </c>
      <c r="G101" s="221">
        <f t="shared" si="37"/>
        <v>39183026553.349846</v>
      </c>
      <c r="H101" s="221">
        <f t="shared" si="37"/>
        <v>42645710074.961258</v>
      </c>
      <c r="I101" s="221">
        <f t="shared" si="37"/>
        <v>47887929650.686943</v>
      </c>
      <c r="J101" s="221">
        <f t="shared" si="37"/>
        <v>42678584783.813232</v>
      </c>
      <c r="K101" s="221">
        <f t="shared" si="37"/>
        <v>38111798599.838051</v>
      </c>
      <c r="L101" s="221">
        <f t="shared" si="37"/>
        <v>28956185138.883564</v>
      </c>
      <c r="M101" s="221">
        <f t="shared" si="37"/>
        <v>29604580960.05085</v>
      </c>
      <c r="N101" s="221">
        <f t="shared" si="37"/>
        <v>30272428655.853161</v>
      </c>
      <c r="O101" s="221">
        <f t="shared" si="37"/>
        <v>30960311782.529541</v>
      </c>
      <c r="P101" s="221">
        <f t="shared" si="37"/>
        <v>31668831403.006218</v>
      </c>
      <c r="Q101" s="221">
        <f t="shared" si="37"/>
        <v>32398606612.097187</v>
      </c>
      <c r="R101" s="221">
        <f t="shared" si="37"/>
        <v>33150275077.460892</v>
      </c>
      <c r="S101" s="221">
        <f t="shared" si="37"/>
        <v>33832896229.368141</v>
      </c>
      <c r="T101" s="221">
        <f t="shared" si="37"/>
        <v>34386081657.826202</v>
      </c>
      <c r="U101" s="221">
        <f t="shared" si="37"/>
        <v>34657865880.473557</v>
      </c>
      <c r="V101" s="221">
        <f t="shared" si="37"/>
        <v>34038317481.761902</v>
      </c>
      <c r="W101" s="223">
        <f t="shared" si="37"/>
        <v>700351192230.98987</v>
      </c>
    </row>
    <row r="102" spans="2:26" ht="14.25" customHeight="1" x14ac:dyDescent="0.3">
      <c r="C102" s="224"/>
      <c r="D102" s="224"/>
      <c r="E102" s="224"/>
      <c r="F102" s="224"/>
      <c r="G102" s="224"/>
      <c r="H102" s="224"/>
      <c r="I102" s="224"/>
      <c r="J102" s="224"/>
      <c r="K102" s="224"/>
      <c r="L102" s="224"/>
      <c r="M102" s="224"/>
      <c r="N102" s="224"/>
      <c r="O102" s="224"/>
      <c r="P102" s="224"/>
      <c r="Q102" s="224"/>
      <c r="R102" s="224"/>
      <c r="S102" s="224"/>
      <c r="T102" s="224"/>
      <c r="U102" s="224"/>
      <c r="V102" s="224"/>
      <c r="W102" s="225"/>
    </row>
    <row r="103" spans="2:26" ht="15.75" customHeight="1" x14ac:dyDescent="0.3">
      <c r="B103" s="205" t="s">
        <v>138</v>
      </c>
      <c r="C103" s="249">
        <f t="shared" ref="C103:Q103" si="38">+C93-C97</f>
        <v>-2874668543.8956375</v>
      </c>
      <c r="D103" s="249">
        <f t="shared" si="38"/>
        <v>11183548993.982468</v>
      </c>
      <c r="E103" s="249">
        <f t="shared" si="38"/>
        <v>-3067157889.893322</v>
      </c>
      <c r="F103" s="249">
        <f t="shared" si="38"/>
        <v>-9476713892.3027992</v>
      </c>
      <c r="G103" s="249">
        <f t="shared" si="38"/>
        <v>-878630242.97224426</v>
      </c>
      <c r="H103" s="249">
        <f t="shared" si="38"/>
        <v>-3192181875.2723351</v>
      </c>
      <c r="I103" s="249">
        <f t="shared" si="38"/>
        <v>-7250795605.0073471</v>
      </c>
      <c r="J103" s="249">
        <f t="shared" si="38"/>
        <v>-822336716.76324081</v>
      </c>
      <c r="K103" s="249">
        <f t="shared" si="38"/>
        <v>5000136909.2234421</v>
      </c>
      <c r="L103" s="250">
        <f t="shared" si="38"/>
        <v>15449108435.449772</v>
      </c>
      <c r="M103" s="250">
        <f t="shared" si="38"/>
        <v>16132871421.512482</v>
      </c>
      <c r="N103" s="250">
        <f t="shared" si="38"/>
        <v>16837147297.15707</v>
      </c>
      <c r="O103" s="250">
        <f t="shared" si="38"/>
        <v>17562551449.070999</v>
      </c>
      <c r="P103" s="250">
        <f t="shared" si="38"/>
        <v>18309717725.542343</v>
      </c>
      <c r="Q103" s="250">
        <f t="shared" si="38"/>
        <v>19079298990.307835</v>
      </c>
      <c r="R103" s="251">
        <f>IF(CONTROL!$C$12=2,R93-R97,0)</f>
        <v>19871967693.016281</v>
      </c>
      <c r="S103" s="251">
        <f>IF(CONTROL!$C$12=2,S93-S97,0)</f>
        <v>20780013824.223351</v>
      </c>
      <c r="T103" s="251">
        <f>IF(CONTROL!$C$12=2,T93-T97,0)</f>
        <v>21865215697.373028</v>
      </c>
      <c r="U103" s="251">
        <f>IF(CONTROL!$C$12=2,U93-U97,0)</f>
        <v>23280970395.38166</v>
      </c>
      <c r="V103" s="251">
        <f>IF(CONTROL!$C$12=2,V93-V97,0)</f>
        <v>25638683882.368973</v>
      </c>
      <c r="W103" s="250">
        <f>+SUM(C103:V103)</f>
        <v>203428747948.50275</v>
      </c>
    </row>
    <row r="104" spans="2:26" ht="15.75" customHeight="1" x14ac:dyDescent="0.3">
      <c r="B104" s="205" t="s">
        <v>139</v>
      </c>
      <c r="C104" s="249">
        <f>C103</f>
        <v>-2874668543.8956375</v>
      </c>
      <c r="D104" s="249">
        <f t="shared" ref="D104:Q104" si="39">+D103+C104</f>
        <v>8308880450.0868301</v>
      </c>
      <c r="E104" s="249">
        <f t="shared" si="39"/>
        <v>5241722560.1935081</v>
      </c>
      <c r="F104" s="249">
        <f t="shared" si="39"/>
        <v>-4234991332.1092911</v>
      </c>
      <c r="G104" s="249">
        <f t="shared" si="39"/>
        <v>-5113621575.0815353</v>
      </c>
      <c r="H104" s="249">
        <f t="shared" si="39"/>
        <v>-8305803450.3538704</v>
      </c>
      <c r="I104" s="249">
        <f t="shared" si="39"/>
        <v>-15556599055.361217</v>
      </c>
      <c r="J104" s="249">
        <f t="shared" si="39"/>
        <v>-16378935772.124458</v>
      </c>
      <c r="K104" s="249">
        <f t="shared" si="39"/>
        <v>-11378798862.901016</v>
      </c>
      <c r="L104" s="250">
        <f t="shared" si="39"/>
        <v>4070309572.5487556</v>
      </c>
      <c r="M104" s="250">
        <f t="shared" si="39"/>
        <v>20203180994.061237</v>
      </c>
      <c r="N104" s="250">
        <f t="shared" si="39"/>
        <v>37040328291.218307</v>
      </c>
      <c r="O104" s="250">
        <f t="shared" si="39"/>
        <v>54602879740.289307</v>
      </c>
      <c r="P104" s="250">
        <f t="shared" si="39"/>
        <v>72912597465.83165</v>
      </c>
      <c r="Q104" s="250">
        <f t="shared" si="39"/>
        <v>91991896456.139481</v>
      </c>
      <c r="R104" s="251">
        <f>IF(CONTROL!$C$12=2,R103+Q104,0)</f>
        <v>111863864149.15576</v>
      </c>
      <c r="S104" s="251">
        <f>IF(CONTROL!$C$12=2,S103+R104,0)</f>
        <v>132643877973.37912</v>
      </c>
      <c r="T104" s="251">
        <f>IF(CONTROL!$C$12=2,T103+S104,0)</f>
        <v>154509093670.75214</v>
      </c>
      <c r="U104" s="251">
        <f>IF(CONTROL!$C$12=2,U103+T104,0)</f>
        <v>177790064066.13379</v>
      </c>
      <c r="V104" s="251">
        <f>IF(CONTROL!$C$12=2,V103+U104,0)</f>
        <v>203428747948.50275</v>
      </c>
      <c r="W104" s="250"/>
    </row>
    <row r="105" spans="2:26" ht="13.5" customHeight="1" x14ac:dyDescent="0.3"/>
    <row r="106" spans="2:26" ht="13.5" customHeight="1" x14ac:dyDescent="0.3"/>
    <row r="107" spans="2:26" ht="14.25" customHeight="1" x14ac:dyDescent="0.3">
      <c r="B107" s="304" t="s">
        <v>140</v>
      </c>
      <c r="C107" s="305">
        <f>IF(CONTROL!$C$12=2,IRR($C$103:$V$103),IRR($C$103:$Q$103))</f>
        <v>2.2128474741156041</v>
      </c>
    </row>
    <row r="108" spans="2:26" ht="13.5" customHeight="1" x14ac:dyDescent="0.3">
      <c r="B108" s="306" t="s">
        <v>2</v>
      </c>
      <c r="C108" s="522">
        <f>IF(CONTROL!$C$12=2,NPV(B109,$C$103:$V$103),NPV(B109,$C$103:$Q$103))</f>
        <v>44958838025.145088</v>
      </c>
    </row>
    <row r="109" spans="2:26" ht="12.75" customHeight="1" x14ac:dyDescent="0.3">
      <c r="B109" s="307">
        <f>+CONTROL!G21</f>
        <v>0.1</v>
      </c>
      <c r="C109" s="523"/>
    </row>
    <row r="110" spans="2:26" ht="13.5" customHeight="1" x14ac:dyDescent="0.3">
      <c r="B110" s="308" t="s">
        <v>141</v>
      </c>
      <c r="C110" s="309">
        <f>IF(CONTROL!$C$12=2,C108/(NPV(B109,C101:V101)),C108/(NPV(B109,C101:Q101)))</f>
        <v>0.14937691052651986</v>
      </c>
    </row>
    <row r="111" spans="2:26" ht="14.25" customHeight="1" x14ac:dyDescent="0.3">
      <c r="B111" s="310" t="s">
        <v>142</v>
      </c>
      <c r="C111" s="311">
        <f t="array" ref="C111">IFERROR(IF(LOOKUP(2,1/(C104:V104&lt;0),C8:V8)&gt;=$C$118,"No recupera",LOOKUP(2,1/(C104:V104&lt;0),C8:V8)+1),1)</f>
        <v>10</v>
      </c>
    </row>
    <row r="112" spans="2:26" ht="12.75" customHeight="1" x14ac:dyDescent="0.3">
      <c r="B112" s="312" t="s">
        <v>143</v>
      </c>
      <c r="C112" s="313">
        <f>+CONTROL!C24</f>
        <v>4680</v>
      </c>
    </row>
    <row r="113" spans="2:4" ht="12.75" customHeight="1" x14ac:dyDescent="0.3">
      <c r="B113" s="314" t="s">
        <v>144</v>
      </c>
      <c r="C113" s="315">
        <f>+CONTROL!C19</f>
        <v>0</v>
      </c>
      <c r="D113" s="239"/>
    </row>
    <row r="114" spans="2:4" ht="12.75" customHeight="1" x14ac:dyDescent="0.3">
      <c r="B114" s="312" t="s">
        <v>36</v>
      </c>
      <c r="C114" s="316">
        <f>+CONTROL!C20</f>
        <v>7200000</v>
      </c>
      <c r="D114" s="239"/>
    </row>
    <row r="115" spans="2:4" ht="13.5" customHeight="1" x14ac:dyDescent="0.3">
      <c r="B115" s="314" t="s">
        <v>145</v>
      </c>
      <c r="C115" s="315">
        <f>+CONTROL!C21</f>
        <v>0</v>
      </c>
    </row>
    <row r="116" spans="2:4" ht="14.25" customHeight="1" x14ac:dyDescent="0.3">
      <c r="B116" s="304" t="s">
        <v>146</v>
      </c>
      <c r="C116" s="317">
        <f>+CONTROL!G24</f>
        <v>23334520011</v>
      </c>
    </row>
    <row r="117" spans="2:4" ht="13.5" customHeight="1" x14ac:dyDescent="0.3">
      <c r="B117" s="318" t="s">
        <v>147</v>
      </c>
      <c r="C117" s="319">
        <f>CONTROL!G26</f>
        <v>8.5000000000000006E-2</v>
      </c>
    </row>
    <row r="118" spans="2:4" ht="13.5" customHeight="1" x14ac:dyDescent="0.3">
      <c r="B118" s="320" t="s">
        <v>148</v>
      </c>
      <c r="C118" s="321">
        <f>+IF(CONTROL!$C$12=2,20,15)</f>
        <v>20</v>
      </c>
    </row>
    <row r="119" spans="2:4" ht="13.5" customHeight="1" x14ac:dyDescent="0.3"/>
  </sheetData>
  <mergeCells count="10">
    <mergeCell ref="C108:C109"/>
    <mergeCell ref="W16:W17"/>
    <mergeCell ref="B54:B56"/>
    <mergeCell ref="B2:W2"/>
    <mergeCell ref="W4:W6"/>
    <mergeCell ref="C54:C56"/>
    <mergeCell ref="W67:W70"/>
    <mergeCell ref="C51:C52"/>
    <mergeCell ref="B63:W63"/>
    <mergeCell ref="C68:V68"/>
  </mergeCell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DA30"/>
  <sheetViews>
    <sheetView showGridLines="0" zoomScale="80" zoomScaleNormal="80" workbookViewId="0">
      <selection activeCell="X17" sqref="X17"/>
    </sheetView>
  </sheetViews>
  <sheetFormatPr defaultColWidth="11.44140625" defaultRowHeight="14.4" outlineLevelRow="1" x14ac:dyDescent="0.3"/>
  <cols>
    <col min="1" max="1" width="6.33203125" customWidth="1"/>
    <col min="2" max="2" width="42.33203125" customWidth="1"/>
    <col min="3" max="3" width="15" customWidth="1"/>
    <col min="4" max="4" width="21.44140625" customWidth="1"/>
    <col min="5" max="5" width="16.88671875" customWidth="1"/>
    <col min="6" max="6" width="21.109375" customWidth="1"/>
    <col min="7" max="7" width="16.88671875" customWidth="1"/>
    <col min="8" max="8" width="21" customWidth="1"/>
    <col min="9" max="10" width="16.88671875" customWidth="1"/>
    <col min="11" max="13" width="16.44140625" customWidth="1"/>
    <col min="14" max="23" width="16.88671875" customWidth="1"/>
    <col min="24" max="24" width="18.5546875" customWidth="1"/>
    <col min="27" max="27" width="19" customWidth="1"/>
    <col min="29" max="29" width="14.33203125" customWidth="1"/>
  </cols>
  <sheetData>
    <row r="1" spans="1:105" s="187" customFormat="1" ht="15.75" customHeight="1" x14ac:dyDescent="0.3">
      <c r="B1" s="189"/>
      <c r="C1" s="189"/>
      <c r="D1" s="189"/>
      <c r="E1" s="189"/>
      <c r="F1" s="189"/>
      <c r="G1" s="189"/>
      <c r="H1" s="190"/>
      <c r="I1" s="189"/>
      <c r="J1" s="189"/>
      <c r="K1" s="189"/>
      <c r="L1" s="189"/>
      <c r="M1" s="189"/>
      <c r="N1" s="189"/>
      <c r="O1" s="189"/>
      <c r="P1" s="189"/>
      <c r="Q1" s="189"/>
      <c r="R1" s="189"/>
      <c r="S1" s="189"/>
      <c r="T1" s="189"/>
      <c r="U1" s="189"/>
      <c r="V1" s="189"/>
      <c r="W1" s="189"/>
      <c r="X1" s="189"/>
    </row>
    <row r="2" spans="1:105" s="188" customFormat="1" ht="15.75" customHeight="1" x14ac:dyDescent="0.3">
      <c r="A2" s="187"/>
      <c r="B2" s="526" t="str">
        <f>+FLUJO!B4</f>
        <v>1 de junio 2026</v>
      </c>
      <c r="C2" s="527"/>
      <c r="D2" s="322">
        <f>+FLUJO!C4</f>
        <v>2027</v>
      </c>
      <c r="E2" s="322">
        <f>+FLUJO!D4</f>
        <v>2028</v>
      </c>
      <c r="F2" s="322">
        <f>+FLUJO!E4</f>
        <v>2029</v>
      </c>
      <c r="G2" s="322">
        <f>+FLUJO!F4</f>
        <v>2030</v>
      </c>
      <c r="H2" s="322">
        <f>+FLUJO!G4</f>
        <v>2031</v>
      </c>
      <c r="I2" s="322">
        <f>+FLUJO!H4</f>
        <v>2032</v>
      </c>
      <c r="J2" s="322">
        <f>+FLUJO!I4</f>
        <v>2033</v>
      </c>
      <c r="K2" s="322">
        <f>+FLUJO!J4</f>
        <v>2034</v>
      </c>
      <c r="L2" s="322">
        <f>+FLUJO!K4</f>
        <v>2035</v>
      </c>
      <c r="M2" s="322">
        <f>+FLUJO!L4</f>
        <v>2036</v>
      </c>
      <c r="N2" s="322">
        <f>+FLUJO!M4</f>
        <v>2037</v>
      </c>
      <c r="O2" s="322">
        <f>+FLUJO!N4</f>
        <v>2038</v>
      </c>
      <c r="P2" s="322">
        <f>+FLUJO!O4</f>
        <v>2039</v>
      </c>
      <c r="Q2" s="322">
        <f>+FLUJO!P4</f>
        <v>2040</v>
      </c>
      <c r="R2" s="322">
        <f>+FLUJO!Q4</f>
        <v>2041</v>
      </c>
      <c r="S2" s="322">
        <f>+FLUJO!R4</f>
        <v>2042</v>
      </c>
      <c r="T2" s="322">
        <f>+FLUJO!S4</f>
        <v>2043</v>
      </c>
      <c r="U2" s="322">
        <f>+FLUJO!T4</f>
        <v>2044</v>
      </c>
      <c r="V2" s="322">
        <f>+FLUJO!U4</f>
        <v>2045</v>
      </c>
      <c r="W2" s="322">
        <f>+FLUJO!V4</f>
        <v>2046</v>
      </c>
      <c r="X2" s="514"/>
      <c r="Y2" s="187"/>
      <c r="Z2" s="187"/>
      <c r="AA2" s="187"/>
      <c r="AB2" s="187"/>
      <c r="AC2" s="187"/>
      <c r="AD2" s="187"/>
      <c r="AE2" s="187"/>
      <c r="AF2" s="187"/>
      <c r="AG2" s="187"/>
      <c r="AH2" s="187"/>
      <c r="AI2" s="187"/>
      <c r="AJ2" s="187"/>
      <c r="AK2" s="187"/>
      <c r="AL2" s="187"/>
      <c r="AM2" s="187"/>
      <c r="AN2" s="187"/>
      <c r="AO2" s="187"/>
      <c r="AP2" s="187"/>
      <c r="AQ2" s="187"/>
      <c r="AR2" s="187"/>
      <c r="AS2" s="187"/>
      <c r="AT2" s="187"/>
      <c r="AU2" s="187"/>
      <c r="AV2" s="187"/>
      <c r="AW2" s="187"/>
      <c r="AX2" s="187"/>
      <c r="AY2" s="187"/>
      <c r="AZ2" s="187"/>
      <c r="BA2" s="187"/>
      <c r="BB2" s="187"/>
      <c r="BC2" s="187"/>
      <c r="BD2" s="187"/>
      <c r="BE2" s="187"/>
      <c r="BF2" s="187"/>
      <c r="BG2" s="187"/>
      <c r="BH2" s="187"/>
      <c r="BI2" s="187"/>
      <c r="BJ2" s="187"/>
      <c r="BK2" s="187"/>
      <c r="BL2" s="187"/>
      <c r="BM2" s="187"/>
      <c r="BN2" s="187"/>
      <c r="BO2" s="187"/>
      <c r="BP2" s="187"/>
      <c r="BQ2" s="187"/>
      <c r="BR2" s="187"/>
      <c r="BS2" s="187"/>
      <c r="BT2" s="187"/>
      <c r="BU2" s="187"/>
      <c r="BV2" s="187"/>
      <c r="BW2" s="187"/>
      <c r="BX2" s="187"/>
      <c r="BY2" s="187"/>
      <c r="BZ2" s="187"/>
      <c r="CA2" s="187"/>
      <c r="CB2" s="187"/>
      <c r="CC2" s="187"/>
      <c r="CD2" s="187"/>
      <c r="CE2" s="187"/>
      <c r="CF2" s="187"/>
      <c r="CG2" s="187"/>
      <c r="CH2" s="187"/>
      <c r="CI2" s="187"/>
      <c r="CJ2" s="187"/>
      <c r="CK2" s="187"/>
      <c r="CL2" s="187"/>
      <c r="CM2" s="187"/>
      <c r="CN2" s="187"/>
      <c r="CO2" s="187"/>
      <c r="CP2" s="187"/>
      <c r="CQ2" s="187"/>
      <c r="CR2" s="187"/>
      <c r="CS2" s="187"/>
      <c r="CT2" s="187"/>
      <c r="CU2" s="187"/>
      <c r="CV2" s="187"/>
      <c r="CW2" s="187"/>
      <c r="CX2" s="187"/>
      <c r="CY2" s="187"/>
      <c r="CZ2" s="187"/>
      <c r="DA2" s="187"/>
    </row>
    <row r="3" spans="1:105" s="188" customFormat="1" ht="14.25" customHeight="1" x14ac:dyDescent="0.25">
      <c r="A3" s="187"/>
      <c r="B3" s="526" t="str">
        <f>+CONTROL!B2</f>
        <v>TIR Nominal (con IVA)</v>
      </c>
      <c r="C3" s="527"/>
      <c r="D3" s="193">
        <f>+FLUJO!C5</f>
        <v>46388</v>
      </c>
      <c r="E3" s="193">
        <f>+FLUJO!D5</f>
        <v>46753</v>
      </c>
      <c r="F3" s="195">
        <f>+FLUJO!E5</f>
        <v>47119</v>
      </c>
      <c r="G3" s="195">
        <f>+FLUJO!F5</f>
        <v>47484</v>
      </c>
      <c r="H3" s="195">
        <f>+FLUJO!G5</f>
        <v>47849</v>
      </c>
      <c r="I3" s="195">
        <f>+FLUJO!H5</f>
        <v>48214</v>
      </c>
      <c r="J3" s="195">
        <f>+FLUJO!I5</f>
        <v>48580</v>
      </c>
      <c r="K3" s="195">
        <f>+FLUJO!J5</f>
        <v>48945</v>
      </c>
      <c r="L3" s="195">
        <f>+FLUJO!K5</f>
        <v>49310</v>
      </c>
      <c r="M3" s="195">
        <f>+FLUJO!L5</f>
        <v>49675</v>
      </c>
      <c r="N3" s="195">
        <f>+FLUJO!M5</f>
        <v>50041</v>
      </c>
      <c r="O3" s="195">
        <f>+FLUJO!N5</f>
        <v>50406</v>
      </c>
      <c r="P3" s="195">
        <f>+FLUJO!O5</f>
        <v>50771</v>
      </c>
      <c r="Q3" s="195">
        <f>+FLUJO!P5</f>
        <v>51136</v>
      </c>
      <c r="R3" s="195">
        <f>+FLUJO!Q5</f>
        <v>51502</v>
      </c>
      <c r="S3" s="195">
        <f>+FLUJO!R5</f>
        <v>51867</v>
      </c>
      <c r="T3" s="195">
        <f>+FLUJO!S5</f>
        <v>52232</v>
      </c>
      <c r="U3" s="195">
        <f>+FLUJO!T5</f>
        <v>52597</v>
      </c>
      <c r="V3" s="195">
        <f>+FLUJO!U5</f>
        <v>52963</v>
      </c>
      <c r="W3" s="195">
        <f>+FLUJO!V5</f>
        <v>53328</v>
      </c>
      <c r="X3" s="527"/>
      <c r="Y3" s="187"/>
      <c r="Z3" s="187"/>
      <c r="AA3" s="187"/>
      <c r="AB3" s="187"/>
      <c r="AC3" s="187"/>
      <c r="AD3" s="187"/>
      <c r="AE3" s="187"/>
      <c r="AF3" s="187"/>
      <c r="AG3" s="187"/>
      <c r="AH3" s="187"/>
      <c r="AI3" s="187"/>
      <c r="AJ3" s="187"/>
      <c r="AK3" s="187"/>
      <c r="AL3" s="187"/>
      <c r="AM3" s="187"/>
      <c r="AN3" s="187"/>
      <c r="AO3" s="187"/>
      <c r="AP3" s="187"/>
      <c r="AQ3" s="187"/>
      <c r="AR3" s="187"/>
      <c r="AS3" s="187"/>
      <c r="AT3" s="187"/>
      <c r="AU3" s="187"/>
      <c r="AV3" s="187"/>
      <c r="AW3" s="187"/>
      <c r="AX3" s="187"/>
      <c r="AY3" s="187"/>
      <c r="AZ3" s="187"/>
      <c r="BA3" s="187"/>
      <c r="BB3" s="187"/>
      <c r="BC3" s="187"/>
      <c r="BD3" s="187"/>
      <c r="BE3" s="187"/>
      <c r="BF3" s="187"/>
      <c r="BG3" s="187"/>
      <c r="BH3" s="187"/>
      <c r="BI3" s="187"/>
      <c r="BJ3" s="187"/>
      <c r="BK3" s="187"/>
      <c r="BL3" s="187"/>
      <c r="BM3" s="187"/>
      <c r="BN3" s="187"/>
      <c r="BO3" s="187"/>
      <c r="BP3" s="187"/>
      <c r="BQ3" s="187"/>
      <c r="BR3" s="187"/>
      <c r="BS3" s="187"/>
      <c r="BT3" s="187"/>
      <c r="BU3" s="187"/>
      <c r="BV3" s="187"/>
      <c r="BW3" s="187"/>
      <c r="BX3" s="187"/>
      <c r="BY3" s="187"/>
      <c r="BZ3" s="187"/>
      <c r="CA3" s="187"/>
      <c r="CB3" s="187"/>
      <c r="CC3" s="187"/>
      <c r="CD3" s="187"/>
      <c r="CE3" s="187"/>
      <c r="CF3" s="187"/>
      <c r="CG3" s="187"/>
      <c r="CH3" s="187"/>
      <c r="CI3" s="187"/>
      <c r="CJ3" s="187"/>
      <c r="CK3" s="187"/>
      <c r="CL3" s="187"/>
      <c r="CM3" s="187"/>
      <c r="CN3" s="187"/>
      <c r="CO3" s="187"/>
      <c r="CP3" s="187"/>
      <c r="CQ3" s="187"/>
      <c r="CR3" s="187"/>
      <c r="CS3" s="187"/>
      <c r="CT3" s="187"/>
      <c r="CU3" s="187"/>
      <c r="CV3" s="187"/>
      <c r="CW3" s="187"/>
      <c r="CX3" s="187"/>
      <c r="CY3" s="187"/>
      <c r="CZ3" s="187"/>
      <c r="DA3" s="187"/>
    </row>
    <row r="4" spans="1:105" s="188" customFormat="1" ht="15" customHeight="1" x14ac:dyDescent="0.25">
      <c r="A4" s="187"/>
      <c r="B4" s="532">
        <f>+FLUJO!B6</f>
        <v>2.2128474741156055</v>
      </c>
      <c r="C4" s="527"/>
      <c r="D4" s="195">
        <f>+FLUJO!C6</f>
        <v>46752</v>
      </c>
      <c r="E4" s="195">
        <f>+FLUJO!D6</f>
        <v>47118</v>
      </c>
      <c r="F4" s="195">
        <f>+FLUJO!E6</f>
        <v>47483</v>
      </c>
      <c r="G4" s="195">
        <f>+FLUJO!F6</f>
        <v>47848</v>
      </c>
      <c r="H4" s="195">
        <f>+FLUJO!G6</f>
        <v>48213</v>
      </c>
      <c r="I4" s="195">
        <f>+FLUJO!H6</f>
        <v>48579</v>
      </c>
      <c r="J4" s="195">
        <f>+FLUJO!I6</f>
        <v>48944</v>
      </c>
      <c r="K4" s="195">
        <f>+FLUJO!J6</f>
        <v>49309</v>
      </c>
      <c r="L4" s="195">
        <f>+FLUJO!K6</f>
        <v>49674</v>
      </c>
      <c r="M4" s="195">
        <f>+FLUJO!L6</f>
        <v>50040</v>
      </c>
      <c r="N4" s="195">
        <f>+FLUJO!M6</f>
        <v>50405</v>
      </c>
      <c r="O4" s="195">
        <f>+FLUJO!N6</f>
        <v>50770</v>
      </c>
      <c r="P4" s="195">
        <f>+FLUJO!O6</f>
        <v>51135</v>
      </c>
      <c r="Q4" s="195">
        <f>+FLUJO!P6</f>
        <v>51501</v>
      </c>
      <c r="R4" s="195">
        <f>+FLUJO!Q6</f>
        <v>51866</v>
      </c>
      <c r="S4" s="195">
        <f>+FLUJO!R6</f>
        <v>52231</v>
      </c>
      <c r="T4" s="195">
        <f>+FLUJO!S6</f>
        <v>52596</v>
      </c>
      <c r="U4" s="195">
        <f>+FLUJO!T6</f>
        <v>52962</v>
      </c>
      <c r="V4" s="195">
        <f>+FLUJO!U6</f>
        <v>53327</v>
      </c>
      <c r="W4" s="195">
        <f>+FLUJO!V6</f>
        <v>53692</v>
      </c>
      <c r="X4" s="527"/>
      <c r="Y4" s="187"/>
      <c r="Z4" s="187"/>
      <c r="AA4" s="187"/>
      <c r="AB4" s="187"/>
      <c r="AC4" s="187"/>
      <c r="AD4" s="187"/>
      <c r="AE4" s="187"/>
      <c r="AF4" s="187"/>
      <c r="AG4" s="187"/>
      <c r="AH4" s="187"/>
      <c r="AI4" s="187"/>
      <c r="AJ4" s="187"/>
      <c r="AK4" s="187"/>
      <c r="AL4" s="187"/>
      <c r="AM4" s="187"/>
      <c r="AN4" s="187"/>
      <c r="AO4" s="187"/>
      <c r="AP4" s="187"/>
      <c r="AQ4" s="187"/>
      <c r="AR4" s="187"/>
      <c r="AS4" s="187"/>
      <c r="AT4" s="187"/>
      <c r="AU4" s="187"/>
      <c r="AV4" s="187"/>
      <c r="AW4" s="187"/>
      <c r="AX4" s="187"/>
      <c r="AY4" s="187"/>
      <c r="AZ4" s="187"/>
      <c r="BA4" s="187"/>
      <c r="BB4" s="187"/>
      <c r="BC4" s="187"/>
      <c r="BD4" s="187"/>
      <c r="BE4" s="187"/>
      <c r="BF4" s="187"/>
      <c r="BG4" s="187"/>
      <c r="BH4" s="187"/>
      <c r="BI4" s="187"/>
      <c r="BJ4" s="187"/>
      <c r="BK4" s="187"/>
      <c r="BL4" s="187"/>
      <c r="BM4" s="187"/>
      <c r="BN4" s="187"/>
      <c r="BO4" s="187"/>
      <c r="BP4" s="187"/>
      <c r="BQ4" s="187"/>
      <c r="BR4" s="187"/>
      <c r="BS4" s="187"/>
      <c r="BT4" s="187"/>
      <c r="BU4" s="187"/>
      <c r="BV4" s="187"/>
      <c r="BW4" s="187"/>
      <c r="BX4" s="187"/>
      <c r="BY4" s="187"/>
      <c r="BZ4" s="187"/>
      <c r="CA4" s="187"/>
      <c r="CB4" s="187"/>
      <c r="CC4" s="187"/>
      <c r="CD4" s="187"/>
      <c r="CE4" s="187"/>
      <c r="CF4" s="187"/>
      <c r="CG4" s="187"/>
      <c r="CH4" s="187"/>
      <c r="CI4" s="187"/>
      <c r="CJ4" s="187"/>
      <c r="CK4" s="187"/>
      <c r="CL4" s="187"/>
      <c r="CM4" s="187"/>
      <c r="CN4" s="187"/>
      <c r="CO4" s="187"/>
      <c r="CP4" s="187"/>
      <c r="CQ4" s="187"/>
      <c r="CR4" s="187"/>
      <c r="CS4" s="187"/>
      <c r="CT4" s="187"/>
      <c r="CU4" s="187"/>
      <c r="CV4" s="187"/>
      <c r="CW4" s="187"/>
      <c r="CX4" s="187"/>
      <c r="CY4" s="187"/>
      <c r="CZ4" s="187"/>
      <c r="DA4" s="187"/>
    </row>
    <row r="5" spans="1:105" s="187" customFormat="1" ht="15" customHeight="1" x14ac:dyDescent="0.25">
      <c r="B5" s="196"/>
      <c r="C5" s="196"/>
      <c r="D5" s="197"/>
      <c r="E5" s="197"/>
      <c r="F5" s="197"/>
      <c r="G5" s="197"/>
      <c r="H5" s="197"/>
      <c r="I5" s="197"/>
      <c r="J5" s="197"/>
      <c r="K5" s="197"/>
      <c r="L5" s="197"/>
      <c r="M5" s="197"/>
      <c r="N5" s="197"/>
      <c r="O5" s="197"/>
      <c r="P5" s="197"/>
      <c r="Q5" s="197"/>
      <c r="R5" s="197"/>
      <c r="S5" s="197"/>
      <c r="T5" s="197"/>
      <c r="U5" s="197"/>
      <c r="V5" s="197"/>
      <c r="W5" s="197"/>
      <c r="X5" s="5"/>
    </row>
    <row r="6" spans="1:105" s="187" customFormat="1" ht="14.25" customHeight="1" x14ac:dyDescent="0.25">
      <c r="B6" s="525" t="s">
        <v>98</v>
      </c>
      <c r="C6" s="515"/>
      <c r="D6" s="203">
        <v>1</v>
      </c>
      <c r="E6" s="203">
        <v>2</v>
      </c>
      <c r="F6" s="203">
        <v>3</v>
      </c>
      <c r="G6" s="203">
        <v>4</v>
      </c>
      <c r="H6" s="203">
        <v>5</v>
      </c>
      <c r="I6" s="203">
        <v>6</v>
      </c>
      <c r="J6" s="203">
        <v>7</v>
      </c>
      <c r="K6" s="203">
        <v>8</v>
      </c>
      <c r="L6" s="203">
        <v>9</v>
      </c>
      <c r="M6" s="203">
        <v>10</v>
      </c>
      <c r="N6" s="203">
        <v>11</v>
      </c>
      <c r="O6" s="203">
        <v>12</v>
      </c>
      <c r="P6" s="203">
        <v>13</v>
      </c>
      <c r="Q6" s="203">
        <v>14</v>
      </c>
      <c r="R6" s="203">
        <v>15</v>
      </c>
      <c r="S6" s="203">
        <v>16</v>
      </c>
      <c r="T6" s="203">
        <v>17</v>
      </c>
      <c r="U6" s="203">
        <v>18</v>
      </c>
      <c r="V6" s="203">
        <v>19</v>
      </c>
      <c r="W6" s="203">
        <v>20</v>
      </c>
      <c r="X6" s="5"/>
    </row>
    <row r="7" spans="1:105" s="187" customFormat="1" ht="12.75" customHeight="1" outlineLevel="1" x14ac:dyDescent="0.25">
      <c r="B7" s="528" t="s">
        <v>99</v>
      </c>
      <c r="C7" s="515"/>
      <c r="D7" s="202">
        <f t="shared" ref="D7:W7" si="0">+D4-D3+1</f>
        <v>365</v>
      </c>
      <c r="E7" s="203">
        <f t="shared" si="0"/>
        <v>366</v>
      </c>
      <c r="F7" s="203">
        <f t="shared" si="0"/>
        <v>365</v>
      </c>
      <c r="G7" s="203">
        <f t="shared" si="0"/>
        <v>365</v>
      </c>
      <c r="H7" s="203">
        <f t="shared" si="0"/>
        <v>365</v>
      </c>
      <c r="I7" s="203">
        <f t="shared" si="0"/>
        <v>366</v>
      </c>
      <c r="J7" s="203">
        <f t="shared" si="0"/>
        <v>365</v>
      </c>
      <c r="K7" s="203">
        <f t="shared" si="0"/>
        <v>365</v>
      </c>
      <c r="L7" s="203">
        <f t="shared" si="0"/>
        <v>365</v>
      </c>
      <c r="M7" s="203">
        <f t="shared" si="0"/>
        <v>366</v>
      </c>
      <c r="N7" s="203">
        <f t="shared" si="0"/>
        <v>365</v>
      </c>
      <c r="O7" s="203">
        <f t="shared" si="0"/>
        <v>365</v>
      </c>
      <c r="P7" s="203">
        <f t="shared" si="0"/>
        <v>365</v>
      </c>
      <c r="Q7" s="203">
        <f t="shared" si="0"/>
        <v>366</v>
      </c>
      <c r="R7" s="203">
        <f t="shared" si="0"/>
        <v>365</v>
      </c>
      <c r="S7" s="203">
        <f t="shared" si="0"/>
        <v>365</v>
      </c>
      <c r="T7" s="203">
        <f t="shared" si="0"/>
        <v>365</v>
      </c>
      <c r="U7" s="203">
        <f t="shared" si="0"/>
        <v>366</v>
      </c>
      <c r="V7" s="203">
        <f t="shared" si="0"/>
        <v>365</v>
      </c>
      <c r="W7" s="203">
        <f t="shared" si="0"/>
        <v>365</v>
      </c>
      <c r="X7" s="5"/>
    </row>
    <row r="8" spans="1:105" s="187" customFormat="1" ht="12.75" customHeight="1" outlineLevel="1" x14ac:dyDescent="0.25">
      <c r="B8" s="528" t="s">
        <v>100</v>
      </c>
      <c r="C8" s="515"/>
      <c r="D8" s="203">
        <f>+-D3+D4+1</f>
        <v>365</v>
      </c>
      <c r="E8" s="203">
        <f t="shared" ref="E8:N9" si="1">+E7</f>
        <v>366</v>
      </c>
      <c r="F8" s="203">
        <f t="shared" si="1"/>
        <v>365</v>
      </c>
      <c r="G8" s="203">
        <f t="shared" si="1"/>
        <v>365</v>
      </c>
      <c r="H8" s="203">
        <f t="shared" si="1"/>
        <v>365</v>
      </c>
      <c r="I8" s="203">
        <f t="shared" si="1"/>
        <v>366</v>
      </c>
      <c r="J8" s="203">
        <f t="shared" si="1"/>
        <v>365</v>
      </c>
      <c r="K8" s="203">
        <f t="shared" si="1"/>
        <v>365</v>
      </c>
      <c r="L8" s="203">
        <f t="shared" si="1"/>
        <v>365</v>
      </c>
      <c r="M8" s="203">
        <f t="shared" si="1"/>
        <v>366</v>
      </c>
      <c r="N8" s="203">
        <f t="shared" si="1"/>
        <v>365</v>
      </c>
      <c r="O8" s="203">
        <f t="shared" ref="O8:X9" si="2">+O7</f>
        <v>365</v>
      </c>
      <c r="P8" s="203">
        <f t="shared" si="2"/>
        <v>365</v>
      </c>
      <c r="Q8" s="203">
        <f t="shared" si="2"/>
        <v>366</v>
      </c>
      <c r="R8" s="203">
        <f t="shared" si="2"/>
        <v>365</v>
      </c>
      <c r="S8" s="203">
        <f t="shared" si="2"/>
        <v>365</v>
      </c>
      <c r="T8" s="203">
        <f t="shared" si="2"/>
        <v>365</v>
      </c>
      <c r="U8" s="203">
        <f t="shared" si="2"/>
        <v>366</v>
      </c>
      <c r="V8" s="203">
        <f t="shared" si="2"/>
        <v>365</v>
      </c>
      <c r="W8" s="203">
        <f t="shared" si="2"/>
        <v>365</v>
      </c>
      <c r="X8" s="5"/>
    </row>
    <row r="9" spans="1:105" s="187" customFormat="1" ht="12.75" customHeight="1" outlineLevel="1" x14ac:dyDescent="0.25">
      <c r="B9" s="528" t="s">
        <v>101</v>
      </c>
      <c r="C9" s="515"/>
      <c r="D9" s="203">
        <f>+D8</f>
        <v>365</v>
      </c>
      <c r="E9" s="203">
        <f t="shared" si="1"/>
        <v>366</v>
      </c>
      <c r="F9" s="203">
        <f t="shared" si="1"/>
        <v>365</v>
      </c>
      <c r="G9" s="203">
        <f t="shared" si="1"/>
        <v>365</v>
      </c>
      <c r="H9" s="203">
        <f t="shared" si="1"/>
        <v>365</v>
      </c>
      <c r="I9" s="203">
        <f t="shared" si="1"/>
        <v>366</v>
      </c>
      <c r="J9" s="203">
        <f t="shared" si="1"/>
        <v>365</v>
      </c>
      <c r="K9" s="203">
        <f t="shared" si="1"/>
        <v>365</v>
      </c>
      <c r="L9" s="203">
        <f t="shared" si="1"/>
        <v>365</v>
      </c>
      <c r="M9" s="203">
        <f t="shared" si="1"/>
        <v>366</v>
      </c>
      <c r="N9" s="203">
        <f t="shared" si="1"/>
        <v>365</v>
      </c>
      <c r="O9" s="203">
        <f t="shared" si="2"/>
        <v>365</v>
      </c>
      <c r="P9" s="203">
        <f t="shared" si="2"/>
        <v>365</v>
      </c>
      <c r="Q9" s="203">
        <f t="shared" si="2"/>
        <v>366</v>
      </c>
      <c r="R9" s="203">
        <f t="shared" si="2"/>
        <v>365</v>
      </c>
      <c r="S9" s="203">
        <f t="shared" si="2"/>
        <v>365</v>
      </c>
      <c r="T9" s="203">
        <f t="shared" si="2"/>
        <v>365</v>
      </c>
      <c r="U9" s="203">
        <f t="shared" si="2"/>
        <v>366</v>
      </c>
      <c r="V9" s="203">
        <f t="shared" si="2"/>
        <v>365</v>
      </c>
      <c r="W9" s="203">
        <f t="shared" si="2"/>
        <v>365</v>
      </c>
      <c r="X9" s="5"/>
    </row>
    <row r="10" spans="1:105" s="187" customFormat="1" ht="12.75" customHeight="1" outlineLevel="1" x14ac:dyDescent="0.25">
      <c r="B10" s="529" t="s">
        <v>102</v>
      </c>
      <c r="C10" s="515"/>
      <c r="D10" s="323">
        <f>+HIPOTESIS!C11</f>
        <v>1</v>
      </c>
      <c r="E10" s="323">
        <f>+HIPOTESIS!D11</f>
        <v>1</v>
      </c>
      <c r="F10" s="323">
        <f>+HIPOTESIS!E11</f>
        <v>1</v>
      </c>
      <c r="G10" s="323">
        <f>+HIPOTESIS!F11</f>
        <v>1</v>
      </c>
      <c r="H10" s="323">
        <f>+HIPOTESIS!G11</f>
        <v>1</v>
      </c>
      <c r="I10" s="323">
        <f>+HIPOTESIS!H11</f>
        <v>1</v>
      </c>
      <c r="J10" s="323">
        <f>+HIPOTESIS!I11</f>
        <v>1</v>
      </c>
      <c r="K10" s="323">
        <f>+HIPOTESIS!J11</f>
        <v>1</v>
      </c>
      <c r="L10" s="323">
        <f>+HIPOTESIS!K11</f>
        <v>1</v>
      </c>
      <c r="M10" s="323">
        <f>+HIPOTESIS!L11</f>
        <v>1</v>
      </c>
      <c r="N10" s="323">
        <f>+HIPOTESIS!M11</f>
        <v>1</v>
      </c>
      <c r="O10" s="323">
        <f>+HIPOTESIS!N11</f>
        <v>1</v>
      </c>
      <c r="P10" s="323">
        <f>+HIPOTESIS!O11</f>
        <v>1</v>
      </c>
      <c r="Q10" s="323">
        <f>+HIPOTESIS!P11</f>
        <v>1</v>
      </c>
      <c r="R10" s="323">
        <f>+HIPOTESIS!Q11</f>
        <v>1</v>
      </c>
      <c r="S10" s="323">
        <f>+HIPOTESIS!R11</f>
        <v>1</v>
      </c>
      <c r="T10" s="323">
        <f>+HIPOTESIS!S11</f>
        <v>1</v>
      </c>
      <c r="U10" s="323">
        <f>+HIPOTESIS!T11</f>
        <v>1</v>
      </c>
      <c r="V10" s="323">
        <f>+HIPOTESIS!U11</f>
        <v>1</v>
      </c>
      <c r="W10" s="323">
        <f>+HIPOTESIS!V11</f>
        <v>1</v>
      </c>
      <c r="X10" s="5"/>
    </row>
    <row r="11" spans="1:105" s="187" customFormat="1" ht="12.75" customHeight="1" outlineLevel="1" x14ac:dyDescent="0.25">
      <c r="B11" s="529" t="s">
        <v>103</v>
      </c>
      <c r="C11" s="515"/>
      <c r="D11" s="324">
        <f>+HIPOTESIS!C12</f>
        <v>1</v>
      </c>
      <c r="E11" s="323">
        <f>+HIPOTESIS!D12</f>
        <v>1</v>
      </c>
      <c r="F11" s="323">
        <f>+HIPOTESIS!E12</f>
        <v>1</v>
      </c>
      <c r="G11" s="323">
        <f>+HIPOTESIS!F12</f>
        <v>1</v>
      </c>
      <c r="H11" s="323">
        <f>+HIPOTESIS!G12</f>
        <v>1</v>
      </c>
      <c r="I11" s="323">
        <f>+HIPOTESIS!H12</f>
        <v>1</v>
      </c>
      <c r="J11" s="323">
        <f>+HIPOTESIS!I12</f>
        <v>1</v>
      </c>
      <c r="K11" s="323">
        <f>+HIPOTESIS!J12</f>
        <v>1</v>
      </c>
      <c r="L11" s="323">
        <f>+HIPOTESIS!K12</f>
        <v>1</v>
      </c>
      <c r="M11" s="323">
        <f>+HIPOTESIS!L12</f>
        <v>1</v>
      </c>
      <c r="N11" s="323">
        <f>+HIPOTESIS!M12</f>
        <v>1</v>
      </c>
      <c r="O11" s="323">
        <f>+HIPOTESIS!N12</f>
        <v>1</v>
      </c>
      <c r="P11" s="323">
        <f>+HIPOTESIS!O12</f>
        <v>1</v>
      </c>
      <c r="Q11" s="323">
        <f>+HIPOTESIS!P12</f>
        <v>1</v>
      </c>
      <c r="R11" s="323">
        <f>+HIPOTESIS!Q12</f>
        <v>1</v>
      </c>
      <c r="S11" s="323">
        <f>+HIPOTESIS!R12</f>
        <v>1</v>
      </c>
      <c r="T11" s="323">
        <f>+HIPOTESIS!S12</f>
        <v>1</v>
      </c>
      <c r="U11" s="323">
        <f>+HIPOTESIS!T12</f>
        <v>1</v>
      </c>
      <c r="V11" s="323">
        <f>+HIPOTESIS!U12</f>
        <v>1</v>
      </c>
      <c r="W11" s="323">
        <f>+HIPOTESIS!V12</f>
        <v>1</v>
      </c>
      <c r="X11" s="5"/>
    </row>
    <row r="12" spans="1:105" s="187" customFormat="1" ht="12.75" customHeight="1" outlineLevel="1" x14ac:dyDescent="0.25">
      <c r="B12" s="529" t="s">
        <v>104</v>
      </c>
      <c r="C12" s="515"/>
      <c r="D12" s="324">
        <f>+HIPOTESIS!C13</f>
        <v>1</v>
      </c>
      <c r="E12" s="323">
        <f>+HIPOTESIS!D13</f>
        <v>1</v>
      </c>
      <c r="F12" s="323">
        <f>+HIPOTESIS!E13</f>
        <v>1</v>
      </c>
      <c r="G12" s="323">
        <f>+HIPOTESIS!F13</f>
        <v>1</v>
      </c>
      <c r="H12" s="323">
        <f>+HIPOTESIS!G13</f>
        <v>1</v>
      </c>
      <c r="I12" s="323">
        <f>+HIPOTESIS!H13</f>
        <v>1</v>
      </c>
      <c r="J12" s="323">
        <f>+HIPOTESIS!I13</f>
        <v>1</v>
      </c>
      <c r="K12" s="323">
        <f>+HIPOTESIS!J13</f>
        <v>1</v>
      </c>
      <c r="L12" s="323">
        <f>+HIPOTESIS!K13</f>
        <v>1</v>
      </c>
      <c r="M12" s="323">
        <f>+HIPOTESIS!L13</f>
        <v>1</v>
      </c>
      <c r="N12" s="323">
        <f>+HIPOTESIS!M13</f>
        <v>1</v>
      </c>
      <c r="O12" s="323">
        <f>+HIPOTESIS!N13</f>
        <v>1</v>
      </c>
      <c r="P12" s="323">
        <f>+HIPOTESIS!O13</f>
        <v>1</v>
      </c>
      <c r="Q12" s="323">
        <f>+HIPOTESIS!P13</f>
        <v>1</v>
      </c>
      <c r="R12" s="323">
        <f>+HIPOTESIS!Q13</f>
        <v>1</v>
      </c>
      <c r="S12" s="323">
        <f>+HIPOTESIS!R13</f>
        <v>1</v>
      </c>
      <c r="T12" s="323">
        <f>+HIPOTESIS!S13</f>
        <v>1</v>
      </c>
      <c r="U12" s="323">
        <f>+HIPOTESIS!T13</f>
        <v>1</v>
      </c>
      <c r="V12" s="323">
        <f>+HIPOTESIS!U13</f>
        <v>1</v>
      </c>
      <c r="W12" s="323">
        <f>+HIPOTESIS!V13</f>
        <v>1</v>
      </c>
      <c r="X12" s="5"/>
    </row>
    <row r="13" spans="1:105" s="187" customFormat="1" ht="12.75" customHeight="1" x14ac:dyDescent="0.25">
      <c r="B13" s="1"/>
      <c r="C13" s="1"/>
      <c r="D13" s="134"/>
      <c r="E13" s="134"/>
      <c r="F13" s="134"/>
      <c r="G13" s="134"/>
      <c r="H13" s="134"/>
      <c r="I13" s="134"/>
      <c r="J13" s="134"/>
      <c r="K13" s="134"/>
      <c r="L13" s="134"/>
      <c r="M13" s="134"/>
      <c r="N13" s="134"/>
      <c r="O13" s="134"/>
      <c r="P13" s="134"/>
      <c r="Q13" s="134"/>
      <c r="R13" s="134"/>
      <c r="S13" s="134"/>
      <c r="T13" s="134"/>
      <c r="U13" s="134"/>
      <c r="V13" s="134"/>
      <c r="W13" s="134"/>
      <c r="X13" s="5"/>
    </row>
    <row r="14" spans="1:105" s="5" customFormat="1" ht="12.75" customHeight="1" x14ac:dyDescent="0.25">
      <c r="B14" s="325" t="s">
        <v>149</v>
      </c>
      <c r="C14" s="326">
        <f>+CONTROL!C29</f>
        <v>0</v>
      </c>
      <c r="D14" s="204">
        <f t="shared" ref="D14:W14" si="3">+C14</f>
        <v>0</v>
      </c>
      <c r="E14" s="204">
        <f t="shared" si="3"/>
        <v>0</v>
      </c>
      <c r="F14" s="204">
        <f t="shared" si="3"/>
        <v>0</v>
      </c>
      <c r="G14" s="204">
        <f t="shared" si="3"/>
        <v>0</v>
      </c>
      <c r="H14" s="204">
        <f t="shared" si="3"/>
        <v>0</v>
      </c>
      <c r="I14" s="204">
        <f t="shared" si="3"/>
        <v>0</v>
      </c>
      <c r="J14" s="204">
        <f t="shared" si="3"/>
        <v>0</v>
      </c>
      <c r="K14" s="204">
        <f t="shared" si="3"/>
        <v>0</v>
      </c>
      <c r="L14" s="204">
        <f t="shared" si="3"/>
        <v>0</v>
      </c>
      <c r="M14" s="204">
        <f t="shared" si="3"/>
        <v>0</v>
      </c>
      <c r="N14" s="204">
        <f t="shared" si="3"/>
        <v>0</v>
      </c>
      <c r="O14" s="204">
        <f t="shared" si="3"/>
        <v>0</v>
      </c>
      <c r="P14" s="204">
        <f t="shared" si="3"/>
        <v>0</v>
      </c>
      <c r="Q14" s="204">
        <f t="shared" si="3"/>
        <v>0</v>
      </c>
      <c r="R14" s="204">
        <f t="shared" si="3"/>
        <v>0</v>
      </c>
      <c r="S14" s="204">
        <f t="shared" si="3"/>
        <v>0</v>
      </c>
      <c r="T14" s="204">
        <f t="shared" si="3"/>
        <v>0</v>
      </c>
      <c r="U14" s="204">
        <f t="shared" si="3"/>
        <v>0</v>
      </c>
      <c r="V14" s="204">
        <f t="shared" si="3"/>
        <v>0</v>
      </c>
      <c r="W14" s="204">
        <f t="shared" si="3"/>
        <v>0</v>
      </c>
    </row>
    <row r="15" spans="1:105" s="187" customFormat="1" ht="12.75" customHeight="1" x14ac:dyDescent="0.25">
      <c r="B15" s="325" t="s">
        <v>150</v>
      </c>
      <c r="C15" s="326">
        <f>+CONTROL!C30</f>
        <v>0</v>
      </c>
      <c r="D15" s="204">
        <f t="shared" ref="D15:W15" si="4">+C15</f>
        <v>0</v>
      </c>
      <c r="E15" s="204">
        <f t="shared" si="4"/>
        <v>0</v>
      </c>
      <c r="F15" s="204">
        <f t="shared" si="4"/>
        <v>0</v>
      </c>
      <c r="G15" s="204">
        <f t="shared" si="4"/>
        <v>0</v>
      </c>
      <c r="H15" s="204">
        <f t="shared" si="4"/>
        <v>0</v>
      </c>
      <c r="I15" s="204">
        <f t="shared" si="4"/>
        <v>0</v>
      </c>
      <c r="J15" s="204">
        <f t="shared" si="4"/>
        <v>0</v>
      </c>
      <c r="K15" s="204">
        <f t="shared" si="4"/>
        <v>0</v>
      </c>
      <c r="L15" s="204">
        <f t="shared" si="4"/>
        <v>0</v>
      </c>
      <c r="M15" s="204">
        <f t="shared" si="4"/>
        <v>0</v>
      </c>
      <c r="N15" s="204">
        <f t="shared" si="4"/>
        <v>0</v>
      </c>
      <c r="O15" s="204">
        <f t="shared" si="4"/>
        <v>0</v>
      </c>
      <c r="P15" s="204">
        <f t="shared" si="4"/>
        <v>0</v>
      </c>
      <c r="Q15" s="204">
        <f t="shared" si="4"/>
        <v>0</v>
      </c>
      <c r="R15" s="204">
        <f t="shared" si="4"/>
        <v>0</v>
      </c>
      <c r="S15" s="204">
        <f t="shared" si="4"/>
        <v>0</v>
      </c>
      <c r="T15" s="204">
        <f t="shared" si="4"/>
        <v>0</v>
      </c>
      <c r="U15" s="204">
        <f t="shared" si="4"/>
        <v>0</v>
      </c>
      <c r="V15" s="204">
        <f t="shared" si="4"/>
        <v>0</v>
      </c>
      <c r="W15" s="204">
        <f t="shared" si="4"/>
        <v>0</v>
      </c>
      <c r="X15" s="5"/>
    </row>
    <row r="16" spans="1:105" ht="15.75" customHeight="1" x14ac:dyDescent="0.3">
      <c r="X16" s="327" t="s">
        <v>106</v>
      </c>
    </row>
    <row r="17" spans="1:29" ht="21.75" customHeight="1" x14ac:dyDescent="0.3">
      <c r="A17" s="328"/>
      <c r="B17" s="329" t="s">
        <v>151</v>
      </c>
      <c r="C17" s="330"/>
      <c r="D17" s="230">
        <f>+INPUTS!B7*(1+D14)</f>
        <v>19772430000</v>
      </c>
      <c r="E17" s="230"/>
      <c r="F17" s="230"/>
      <c r="G17" s="230"/>
      <c r="H17" s="230"/>
      <c r="I17" s="230"/>
      <c r="J17" s="230"/>
      <c r="K17" s="230"/>
      <c r="L17" s="230"/>
      <c r="M17" s="230"/>
      <c r="N17" s="230"/>
      <c r="O17" s="230"/>
      <c r="P17" s="230"/>
      <c r="Q17" s="230"/>
      <c r="R17" s="230"/>
      <c r="S17" s="230"/>
      <c r="T17" s="230"/>
      <c r="U17" s="230"/>
      <c r="V17" s="230"/>
      <c r="W17" s="230"/>
      <c r="X17" s="213">
        <f>+SUM(D17:W17)</f>
        <v>19772430000</v>
      </c>
      <c r="AA17" s="331"/>
      <c r="AC17" s="331"/>
    </row>
    <row r="18" spans="1:29" ht="21.75" customHeight="1" x14ac:dyDescent="0.3">
      <c r="B18" s="332" t="s">
        <v>152</v>
      </c>
      <c r="C18" s="333"/>
      <c r="D18" s="219"/>
      <c r="E18" s="219">
        <f>+INPUTS!C7*(1+E14)</f>
        <v>0</v>
      </c>
      <c r="F18" s="219">
        <f>+INPUTS!D7*(1+F14)</f>
        <v>9990000000</v>
      </c>
      <c r="G18" s="219">
        <f>+INPUTS!E7*(1+G14)</f>
        <v>16650000000</v>
      </c>
      <c r="H18" s="219">
        <f>+INPUTS!F7*(1+H14)</f>
        <v>7400000000</v>
      </c>
      <c r="I18" s="219">
        <f>+INPUTS!G7*(1+I14)</f>
        <v>11840000000</v>
      </c>
      <c r="J18" s="219">
        <f>+INPUTS!H7*(1+J14)</f>
        <v>17760000000</v>
      </c>
      <c r="K18" s="219">
        <f>+INPUTS!I7*(1+K14)</f>
        <v>17760000000</v>
      </c>
      <c r="L18" s="219">
        <f>+INPUTS!J7*(1+L14)</f>
        <v>11840000000</v>
      </c>
      <c r="M18" s="219">
        <f>+INPUTS!K7*(1+M14)</f>
        <v>0</v>
      </c>
      <c r="N18" s="219">
        <f>+INPUTS!L7*(1+N14)</f>
        <v>0</v>
      </c>
      <c r="O18" s="219">
        <f>+INPUTS!M7*(1+O14)</f>
        <v>0</v>
      </c>
      <c r="P18" s="219">
        <f>+INPUTS!N7*(1+P14)</f>
        <v>0</v>
      </c>
      <c r="Q18" s="219">
        <f>+INPUTS!O7*(1+Q14)</f>
        <v>0</v>
      </c>
      <c r="R18" s="219">
        <f>+INPUTS!P7*(1+R14)</f>
        <v>0</v>
      </c>
      <c r="S18" s="219">
        <f>+INPUTS!Q7*(1+S14)</f>
        <v>0</v>
      </c>
      <c r="T18" s="219">
        <f>+INPUTS!R7*(1+T14)</f>
        <v>0</v>
      </c>
      <c r="U18" s="219">
        <f>+INPUTS!S7*(1+U14)</f>
        <v>0</v>
      </c>
      <c r="V18" s="219">
        <f>+INPUTS!T7*(1+V14)</f>
        <v>0</v>
      </c>
      <c r="W18" s="219">
        <f>+INPUTS!U7*(1+W14)</f>
        <v>0</v>
      </c>
      <c r="X18" s="215">
        <f>+SUM(D18:W18)</f>
        <v>93240000000</v>
      </c>
      <c r="Z18" s="331"/>
      <c r="AA18" s="331"/>
      <c r="AC18" s="331"/>
    </row>
    <row r="19" spans="1:29" ht="21.75" customHeight="1" x14ac:dyDescent="0.3">
      <c r="A19" s="328"/>
      <c r="B19" s="334" t="s">
        <v>50</v>
      </c>
      <c r="C19" s="333"/>
      <c r="D19" s="219">
        <f>+INPUTS!B11*(1+D15)</f>
        <v>0</v>
      </c>
      <c r="E19" s="219">
        <f>+INPUTS!C11*(1+E15)</f>
        <v>6333303690.000001</v>
      </c>
      <c r="F19" s="219">
        <f>+INPUTS!D11*(1+F15)</f>
        <v>6333303690.000001</v>
      </c>
      <c r="G19" s="219">
        <f>+INPUTS!E11*(1+G15)</f>
        <v>6333303690.000001</v>
      </c>
      <c r="H19" s="219">
        <f>+INPUTS!F11*(1+H15)</f>
        <v>6333303690.000001</v>
      </c>
      <c r="I19" s="219">
        <f>+INPUTS!G11*(1+I15)</f>
        <v>6333303690.000001</v>
      </c>
      <c r="J19" s="219">
        <f>+INPUTS!H11*(1+J15)</f>
        <v>6333303690.000001</v>
      </c>
      <c r="K19" s="219">
        <f>+INPUTS!I11*(1+K15)</f>
        <v>6333303690.000001</v>
      </c>
      <c r="L19" s="219">
        <f>+INPUTS!J11*(1+L15)</f>
        <v>6333303690.000001</v>
      </c>
      <c r="M19" s="219">
        <f>+INPUTS!K11*(1+M15)</f>
        <v>6333303690.000001</v>
      </c>
      <c r="N19" s="219">
        <f>+INPUTS!L11*(1+N15)</f>
        <v>6333303690.000001</v>
      </c>
      <c r="O19" s="219">
        <f>+INPUTS!M11*(1+O15)</f>
        <v>6333303690.000001</v>
      </c>
      <c r="P19" s="219">
        <f>+INPUTS!N11*(1+P15)</f>
        <v>6333303690.000001</v>
      </c>
      <c r="Q19" s="219">
        <f>+INPUTS!O11*(1+Q15)</f>
        <v>6333303690.000001</v>
      </c>
      <c r="R19" s="219">
        <f>+INPUTS!P11*(1+R15)</f>
        <v>6333303690.000001</v>
      </c>
      <c r="S19" s="219">
        <f>+INPUTS!Q11*(1+S15)</f>
        <v>6333303690.000001</v>
      </c>
      <c r="T19" s="219">
        <f>+INPUTS!R11*(1+T15)</f>
        <v>6333303690.000001</v>
      </c>
      <c r="U19" s="219">
        <f>+INPUTS!S11*(1+U15)</f>
        <v>6333303690.000001</v>
      </c>
      <c r="V19" s="219">
        <f>+INPUTS!T11*(1+V15)</f>
        <v>6333303690.000001</v>
      </c>
      <c r="W19" s="219">
        <f>+INPUTS!U11*(1+W15)</f>
        <v>6333303690.000001</v>
      </c>
      <c r="X19" s="215">
        <f>+SUM(D19:W19)</f>
        <v>120332770110.00002</v>
      </c>
      <c r="AA19" s="331"/>
      <c r="AC19" s="331"/>
    </row>
    <row r="20" spans="1:29" ht="21.75" customHeight="1" x14ac:dyDescent="0.3">
      <c r="B20" s="530" t="s">
        <v>153</v>
      </c>
      <c r="C20" s="531"/>
      <c r="D20" s="317">
        <f t="shared" ref="D20:R20" si="5">SUM(D17:D19)</f>
        <v>19772430000</v>
      </c>
      <c r="E20" s="317">
        <f t="shared" si="5"/>
        <v>6333303690.000001</v>
      </c>
      <c r="F20" s="317">
        <f t="shared" si="5"/>
        <v>16323303690</v>
      </c>
      <c r="G20" s="317">
        <f t="shared" si="5"/>
        <v>22983303690</v>
      </c>
      <c r="H20" s="317">
        <f t="shared" si="5"/>
        <v>13733303690</v>
      </c>
      <c r="I20" s="317">
        <f t="shared" si="5"/>
        <v>18173303690</v>
      </c>
      <c r="J20" s="317">
        <f t="shared" si="5"/>
        <v>24093303690</v>
      </c>
      <c r="K20" s="317">
        <f t="shared" si="5"/>
        <v>24093303690</v>
      </c>
      <c r="L20" s="317">
        <f t="shared" si="5"/>
        <v>18173303690</v>
      </c>
      <c r="M20" s="317">
        <f t="shared" si="5"/>
        <v>6333303690.000001</v>
      </c>
      <c r="N20" s="317">
        <f t="shared" si="5"/>
        <v>6333303690.000001</v>
      </c>
      <c r="O20" s="317">
        <f t="shared" si="5"/>
        <v>6333303690.000001</v>
      </c>
      <c r="P20" s="317">
        <f t="shared" si="5"/>
        <v>6333303690.000001</v>
      </c>
      <c r="Q20" s="317">
        <f t="shared" si="5"/>
        <v>6333303690.000001</v>
      </c>
      <c r="R20" s="317">
        <f t="shared" si="5"/>
        <v>6333303690.000001</v>
      </c>
      <c r="S20" s="335">
        <f>IF(CONTROL!$C$12=2,SUM(S17:S19),0)</f>
        <v>6333303690.000001</v>
      </c>
      <c r="T20" s="335">
        <f>IF(CONTROL!$C$12=2,SUM(T17:T19),0)</f>
        <v>6333303690.000001</v>
      </c>
      <c r="U20" s="335">
        <f>IF(CONTROL!$C$12=2,SUM(U17:U19),0)</f>
        <v>6333303690.000001</v>
      </c>
      <c r="V20" s="335">
        <f>IF(CONTROL!$C$12=2,SUM(V17:V19),0)</f>
        <v>6333303690.000001</v>
      </c>
      <c r="W20" s="335">
        <f>IF(CONTROL!$C$12=2,SUM(W17:W19),0)</f>
        <v>6333303690.000001</v>
      </c>
      <c r="X20" s="317">
        <f>+SUM(D20:W20)</f>
        <v>233345200110</v>
      </c>
    </row>
    <row r="21" spans="1:29" ht="15.75" customHeight="1" x14ac:dyDescent="0.3"/>
    <row r="22" spans="1:29" ht="15" customHeight="1" x14ac:dyDescent="0.3">
      <c r="D22" s="224"/>
      <c r="E22" s="224"/>
      <c r="F22" s="224"/>
      <c r="G22" s="224"/>
      <c r="H22" s="224"/>
      <c r="I22" s="224"/>
      <c r="J22" s="224"/>
      <c r="K22" s="224"/>
      <c r="L22" s="224"/>
      <c r="M22" s="224"/>
      <c r="N22" s="224"/>
      <c r="O22" s="224"/>
      <c r="P22" s="224"/>
      <c r="Q22" s="224"/>
      <c r="R22" s="224"/>
      <c r="S22" s="224"/>
      <c r="T22" s="224"/>
      <c r="U22" s="224"/>
      <c r="V22" s="224"/>
      <c r="W22" s="224"/>
    </row>
    <row r="23" spans="1:29" ht="15" customHeight="1" x14ac:dyDescent="0.3">
      <c r="D23" s="224"/>
      <c r="E23" s="224"/>
      <c r="F23" s="224"/>
      <c r="G23" s="224"/>
      <c r="H23" s="224"/>
      <c r="I23" s="224"/>
      <c r="J23" s="224"/>
    </row>
    <row r="24" spans="1:29" ht="15" customHeight="1" x14ac:dyDescent="0.3">
      <c r="D24" s="336"/>
      <c r="E24" s="336"/>
    </row>
    <row r="26" spans="1:29" ht="15" customHeight="1" x14ac:dyDescent="0.3">
      <c r="X26" s="337"/>
    </row>
    <row r="29" spans="1:29" ht="15" customHeight="1" x14ac:dyDescent="0.3">
      <c r="D29" s="331"/>
      <c r="E29" s="331"/>
      <c r="F29" s="331"/>
      <c r="G29" s="331"/>
      <c r="H29" s="331"/>
      <c r="I29" s="331"/>
      <c r="J29" s="331"/>
      <c r="K29" s="331"/>
      <c r="L29" s="331"/>
      <c r="M29" s="331"/>
      <c r="N29" s="331"/>
      <c r="O29" s="331"/>
      <c r="P29" s="331"/>
      <c r="Q29" s="331"/>
      <c r="R29" s="331"/>
      <c r="S29" s="331"/>
    </row>
    <row r="30" spans="1:29" ht="15" customHeight="1" x14ac:dyDescent="0.3">
      <c r="D30" s="331"/>
      <c r="E30" s="331"/>
      <c r="F30" s="331"/>
      <c r="G30" s="331"/>
      <c r="H30" s="331"/>
      <c r="I30" s="331"/>
      <c r="J30" s="331"/>
      <c r="K30" s="331"/>
      <c r="L30" s="331"/>
      <c r="M30" s="331"/>
      <c r="N30" s="331"/>
      <c r="O30" s="331"/>
      <c r="P30" s="331"/>
      <c r="Q30" s="331"/>
      <c r="R30" s="331"/>
      <c r="S30" s="331"/>
      <c r="T30" s="331"/>
      <c r="U30" s="331"/>
      <c r="V30" s="331"/>
      <c r="W30" s="331"/>
    </row>
  </sheetData>
  <mergeCells count="12">
    <mergeCell ref="B20:C20"/>
    <mergeCell ref="B10:C10"/>
    <mergeCell ref="X2:X4"/>
    <mergeCell ref="B9:C9"/>
    <mergeCell ref="B8:C8"/>
    <mergeCell ref="B4:C4"/>
    <mergeCell ref="B12:C12"/>
    <mergeCell ref="B6:C6"/>
    <mergeCell ref="B2:C2"/>
    <mergeCell ref="B7:C7"/>
    <mergeCell ref="B11:C11"/>
    <mergeCell ref="B3:C3"/>
  </mergeCell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X150"/>
  <sheetViews>
    <sheetView showGridLines="0" zoomScale="70" zoomScaleNormal="70" workbookViewId="0">
      <selection activeCell="A123" sqref="A123:XFD143"/>
    </sheetView>
  </sheetViews>
  <sheetFormatPr defaultColWidth="10.88671875" defaultRowHeight="13.2" x14ac:dyDescent="0.25"/>
  <cols>
    <col min="1" max="1" width="3.88671875" style="338" customWidth="1"/>
    <col min="2" max="2" width="10.88671875" style="338" customWidth="1"/>
    <col min="3" max="3" width="30.6640625" style="338" customWidth="1"/>
    <col min="4" max="4" width="17.33203125" style="338" customWidth="1"/>
    <col min="5" max="24" width="16.5546875" style="338" customWidth="1"/>
    <col min="25" max="232" width="10.88671875" style="338" customWidth="1"/>
    <col min="233" max="233" width="16.88671875" style="338" customWidth="1"/>
    <col min="234" max="280" width="14.44140625" style="338" customWidth="1"/>
    <col min="281" max="488" width="10.88671875" style="338" customWidth="1"/>
    <col min="489" max="489" width="16.88671875" style="338" customWidth="1"/>
    <col min="490" max="536" width="14.44140625" style="338" customWidth="1"/>
    <col min="537" max="744" width="10.88671875" style="338" customWidth="1"/>
    <col min="745" max="745" width="16.88671875" style="338" customWidth="1"/>
    <col min="746" max="792" width="14.44140625" style="338" customWidth="1"/>
    <col min="793" max="1000" width="10.88671875" style="338" customWidth="1"/>
    <col min="1001" max="1001" width="16.88671875" style="338" customWidth="1"/>
    <col min="1002" max="1048" width="14.44140625" style="338" customWidth="1"/>
    <col min="1049" max="1256" width="10.88671875" style="338" customWidth="1"/>
    <col min="1257" max="1257" width="16.88671875" style="338" customWidth="1"/>
    <col min="1258" max="1304" width="14.44140625" style="338" customWidth="1"/>
    <col min="1305" max="1512" width="10.88671875" style="338" customWidth="1"/>
    <col min="1513" max="1513" width="16.88671875" style="338" customWidth="1"/>
    <col min="1514" max="1560" width="14.44140625" style="338" customWidth="1"/>
    <col min="1561" max="1768" width="10.88671875" style="338" customWidth="1"/>
    <col min="1769" max="1769" width="16.88671875" style="338" customWidth="1"/>
    <col min="1770" max="1816" width="14.44140625" style="338" customWidth="1"/>
    <col min="1817" max="2024" width="10.88671875" style="338" customWidth="1"/>
    <col min="2025" max="2025" width="16.88671875" style="338" customWidth="1"/>
    <col min="2026" max="2072" width="14.44140625" style="338" customWidth="1"/>
    <col min="2073" max="2280" width="10.88671875" style="338" customWidth="1"/>
    <col min="2281" max="2281" width="16.88671875" style="338" customWidth="1"/>
    <col min="2282" max="2328" width="14.44140625" style="338" customWidth="1"/>
    <col min="2329" max="2536" width="10.88671875" style="338" customWidth="1"/>
    <col min="2537" max="2537" width="16.88671875" style="338" customWidth="1"/>
    <col min="2538" max="2584" width="14.44140625" style="338" customWidth="1"/>
    <col min="2585" max="2792" width="10.88671875" style="338" customWidth="1"/>
    <col min="2793" max="2793" width="16.88671875" style="338" customWidth="1"/>
    <col min="2794" max="2840" width="14.44140625" style="338" customWidth="1"/>
    <col min="2841" max="3048" width="10.88671875" style="338" customWidth="1"/>
    <col min="3049" max="3049" width="16.88671875" style="338" customWidth="1"/>
    <col min="3050" max="3096" width="14.44140625" style="338" customWidth="1"/>
    <col min="3097" max="3304" width="10.88671875" style="338" customWidth="1"/>
    <col min="3305" max="3305" width="16.88671875" style="338" customWidth="1"/>
    <col min="3306" max="3352" width="14.44140625" style="338" customWidth="1"/>
    <col min="3353" max="3560" width="10.88671875" style="338" customWidth="1"/>
    <col min="3561" max="3561" width="16.88671875" style="338" customWidth="1"/>
    <col min="3562" max="3608" width="14.44140625" style="338" customWidth="1"/>
    <col min="3609" max="3816" width="10.88671875" style="338" customWidth="1"/>
    <col min="3817" max="3817" width="16.88671875" style="338" customWidth="1"/>
    <col min="3818" max="3864" width="14.44140625" style="338" customWidth="1"/>
    <col min="3865" max="4072" width="10.88671875" style="338" customWidth="1"/>
    <col min="4073" max="4073" width="16.88671875" style="338" customWidth="1"/>
    <col min="4074" max="4120" width="14.44140625" style="338" customWidth="1"/>
    <col min="4121" max="4328" width="10.88671875" style="338" customWidth="1"/>
    <col min="4329" max="4329" width="16.88671875" style="338" customWidth="1"/>
    <col min="4330" max="4376" width="14.44140625" style="338" customWidth="1"/>
    <col min="4377" max="4584" width="10.88671875" style="338" customWidth="1"/>
    <col min="4585" max="4585" width="16.88671875" style="338" customWidth="1"/>
    <col min="4586" max="4632" width="14.44140625" style="338" customWidth="1"/>
    <col min="4633" max="4840" width="10.88671875" style="338" customWidth="1"/>
    <col min="4841" max="4841" width="16.88671875" style="338" customWidth="1"/>
    <col min="4842" max="4888" width="14.44140625" style="338" customWidth="1"/>
    <col min="4889" max="5096" width="10.88671875" style="338" customWidth="1"/>
    <col min="5097" max="5097" width="16.88671875" style="338" customWidth="1"/>
    <col min="5098" max="5144" width="14.44140625" style="338" customWidth="1"/>
    <col min="5145" max="5352" width="10.88671875" style="338" customWidth="1"/>
    <col min="5353" max="5353" width="16.88671875" style="338" customWidth="1"/>
    <col min="5354" max="5400" width="14.44140625" style="338" customWidth="1"/>
    <col min="5401" max="5608" width="10.88671875" style="338" customWidth="1"/>
    <col min="5609" max="5609" width="16.88671875" style="338" customWidth="1"/>
    <col min="5610" max="5656" width="14.44140625" style="338" customWidth="1"/>
    <col min="5657" max="5864" width="10.88671875" style="338" customWidth="1"/>
    <col min="5865" max="5865" width="16.88671875" style="338" customWidth="1"/>
    <col min="5866" max="5912" width="14.44140625" style="338" customWidth="1"/>
    <col min="5913" max="6120" width="10.88671875" style="338" customWidth="1"/>
    <col min="6121" max="6121" width="16.88671875" style="338" customWidth="1"/>
    <col min="6122" max="6168" width="14.44140625" style="338" customWidth="1"/>
    <col min="6169" max="6376" width="10.88671875" style="338" customWidth="1"/>
    <col min="6377" max="6377" width="16.88671875" style="338" customWidth="1"/>
    <col min="6378" max="6424" width="14.44140625" style="338" customWidth="1"/>
    <col min="6425" max="6632" width="10.88671875" style="338" customWidth="1"/>
    <col min="6633" max="6633" width="16.88671875" style="338" customWidth="1"/>
    <col min="6634" max="6680" width="14.44140625" style="338" customWidth="1"/>
    <col min="6681" max="6888" width="10.88671875" style="338" customWidth="1"/>
    <col min="6889" max="6889" width="16.88671875" style="338" customWidth="1"/>
    <col min="6890" max="6936" width="14.44140625" style="338" customWidth="1"/>
    <col min="6937" max="7144" width="10.88671875" style="338" customWidth="1"/>
    <col min="7145" max="7145" width="16.88671875" style="338" customWidth="1"/>
    <col min="7146" max="7192" width="14.44140625" style="338" customWidth="1"/>
    <col min="7193" max="7400" width="10.88671875" style="338" customWidth="1"/>
    <col min="7401" max="7401" width="16.88671875" style="338" customWidth="1"/>
    <col min="7402" max="7448" width="14.44140625" style="338" customWidth="1"/>
    <col min="7449" max="7656" width="10.88671875" style="338" customWidth="1"/>
    <col min="7657" max="7657" width="16.88671875" style="338" customWidth="1"/>
    <col min="7658" max="7704" width="14.44140625" style="338" customWidth="1"/>
    <col min="7705" max="7912" width="10.88671875" style="338" customWidth="1"/>
    <col min="7913" max="7913" width="16.88671875" style="338" customWidth="1"/>
    <col min="7914" max="7960" width="14.44140625" style="338" customWidth="1"/>
    <col min="7961" max="8168" width="10.88671875" style="338" customWidth="1"/>
    <col min="8169" max="8169" width="16.88671875" style="338" customWidth="1"/>
    <col min="8170" max="8216" width="14.44140625" style="338" customWidth="1"/>
    <col min="8217" max="8424" width="10.88671875" style="338" customWidth="1"/>
    <col min="8425" max="8425" width="16.88671875" style="338" customWidth="1"/>
    <col min="8426" max="8472" width="14.44140625" style="338" customWidth="1"/>
    <col min="8473" max="8680" width="10.88671875" style="338" customWidth="1"/>
    <col min="8681" max="8681" width="16.88671875" style="338" customWidth="1"/>
    <col min="8682" max="8728" width="14.44140625" style="338" customWidth="1"/>
    <col min="8729" max="8936" width="10.88671875" style="338" customWidth="1"/>
    <col min="8937" max="8937" width="16.88671875" style="338" customWidth="1"/>
    <col min="8938" max="8984" width="14.44140625" style="338" customWidth="1"/>
    <col min="8985" max="9192" width="10.88671875" style="338" customWidth="1"/>
    <col min="9193" max="9193" width="16.88671875" style="338" customWidth="1"/>
    <col min="9194" max="9240" width="14.44140625" style="338" customWidth="1"/>
    <col min="9241" max="9448" width="10.88671875" style="338" customWidth="1"/>
    <col min="9449" max="9449" width="16.88671875" style="338" customWidth="1"/>
    <col min="9450" max="9496" width="14.44140625" style="338" customWidth="1"/>
    <col min="9497" max="9704" width="10.88671875" style="338" customWidth="1"/>
    <col min="9705" max="9705" width="16.88671875" style="338" customWidth="1"/>
    <col min="9706" max="9752" width="14.44140625" style="338" customWidth="1"/>
    <col min="9753" max="9960" width="10.88671875" style="338" customWidth="1"/>
    <col min="9961" max="9961" width="16.88671875" style="338" customWidth="1"/>
    <col min="9962" max="10008" width="14.44140625" style="338" customWidth="1"/>
    <col min="10009" max="10216" width="10.88671875" style="338" customWidth="1"/>
    <col min="10217" max="10217" width="16.88671875" style="338" customWidth="1"/>
    <col min="10218" max="10264" width="14.44140625" style="338" customWidth="1"/>
    <col min="10265" max="10472" width="10.88671875" style="338" customWidth="1"/>
    <col min="10473" max="10473" width="16.88671875" style="338" customWidth="1"/>
    <col min="10474" max="10520" width="14.44140625" style="338" customWidth="1"/>
    <col min="10521" max="10728" width="10.88671875" style="338" customWidth="1"/>
    <col min="10729" max="10729" width="16.88671875" style="338" customWidth="1"/>
    <col min="10730" max="10776" width="14.44140625" style="338" customWidth="1"/>
    <col min="10777" max="10984" width="10.88671875" style="338" customWidth="1"/>
    <col min="10985" max="10985" width="16.88671875" style="338" customWidth="1"/>
    <col min="10986" max="11032" width="14.44140625" style="338" customWidth="1"/>
    <col min="11033" max="11240" width="10.88671875" style="338" customWidth="1"/>
    <col min="11241" max="11241" width="16.88671875" style="338" customWidth="1"/>
    <col min="11242" max="11288" width="14.44140625" style="338" customWidth="1"/>
    <col min="11289" max="11496" width="10.88671875" style="338" customWidth="1"/>
    <col min="11497" max="11497" width="16.88671875" style="338" customWidth="1"/>
    <col min="11498" max="11544" width="14.44140625" style="338" customWidth="1"/>
    <col min="11545" max="11752" width="10.88671875" style="338" customWidth="1"/>
    <col min="11753" max="11753" width="16.88671875" style="338" customWidth="1"/>
    <col min="11754" max="11800" width="14.44140625" style="338" customWidth="1"/>
    <col min="11801" max="12008" width="10.88671875" style="338" customWidth="1"/>
    <col min="12009" max="12009" width="16.88671875" style="338" customWidth="1"/>
    <col min="12010" max="12056" width="14.44140625" style="338" customWidth="1"/>
    <col min="12057" max="12264" width="10.88671875" style="338" customWidth="1"/>
    <col min="12265" max="12265" width="16.88671875" style="338" customWidth="1"/>
    <col min="12266" max="12312" width="14.44140625" style="338" customWidth="1"/>
    <col min="12313" max="12520" width="10.88671875" style="338" customWidth="1"/>
    <col min="12521" max="12521" width="16.88671875" style="338" customWidth="1"/>
    <col min="12522" max="12568" width="14.44140625" style="338" customWidth="1"/>
    <col min="12569" max="12776" width="10.88671875" style="338" customWidth="1"/>
    <col min="12777" max="12777" width="16.88671875" style="338" customWidth="1"/>
    <col min="12778" max="12824" width="14.44140625" style="338" customWidth="1"/>
    <col min="12825" max="13032" width="10.88671875" style="338" customWidth="1"/>
    <col min="13033" max="13033" width="16.88671875" style="338" customWidth="1"/>
    <col min="13034" max="13080" width="14.44140625" style="338" customWidth="1"/>
    <col min="13081" max="13288" width="10.88671875" style="338" customWidth="1"/>
    <col min="13289" max="13289" width="16.88671875" style="338" customWidth="1"/>
    <col min="13290" max="13336" width="14.44140625" style="338" customWidth="1"/>
    <col min="13337" max="13544" width="10.88671875" style="338" customWidth="1"/>
    <col min="13545" max="13545" width="16.88671875" style="338" customWidth="1"/>
    <col min="13546" max="13592" width="14.44140625" style="338" customWidth="1"/>
    <col min="13593" max="13800" width="10.88671875" style="338" customWidth="1"/>
    <col min="13801" max="13801" width="16.88671875" style="338" customWidth="1"/>
    <col min="13802" max="13848" width="14.44140625" style="338" customWidth="1"/>
    <col min="13849" max="14056" width="10.88671875" style="338" customWidth="1"/>
    <col min="14057" max="14057" width="16.88671875" style="338" customWidth="1"/>
    <col min="14058" max="14104" width="14.44140625" style="338" customWidth="1"/>
    <col min="14105" max="14312" width="10.88671875" style="338" customWidth="1"/>
    <col min="14313" max="14313" width="16.88671875" style="338" customWidth="1"/>
    <col min="14314" max="14360" width="14.44140625" style="338" customWidth="1"/>
    <col min="14361" max="14568" width="10.88671875" style="338" customWidth="1"/>
    <col min="14569" max="14569" width="16.88671875" style="338" customWidth="1"/>
    <col min="14570" max="14616" width="14.44140625" style="338" customWidth="1"/>
    <col min="14617" max="14824" width="10.88671875" style="338" customWidth="1"/>
    <col min="14825" max="14825" width="16.88671875" style="338" customWidth="1"/>
    <col min="14826" max="14872" width="14.44140625" style="338" customWidth="1"/>
    <col min="14873" max="15080" width="10.88671875" style="338" customWidth="1"/>
    <col min="15081" max="15081" width="16.88671875" style="338" customWidth="1"/>
    <col min="15082" max="15128" width="14.44140625" style="338" customWidth="1"/>
    <col min="15129" max="15336" width="10.88671875" style="338" customWidth="1"/>
    <col min="15337" max="15337" width="16.88671875" style="338" customWidth="1"/>
    <col min="15338" max="15384" width="14.44140625" style="338" customWidth="1"/>
    <col min="15385" max="15592" width="10.88671875" style="338" customWidth="1"/>
    <col min="15593" max="15593" width="16.88671875" style="338" customWidth="1"/>
    <col min="15594" max="15640" width="14.44140625" style="338" customWidth="1"/>
    <col min="15641" max="15848" width="10.88671875" style="338" customWidth="1"/>
    <col min="15849" max="15849" width="16.88671875" style="338" customWidth="1"/>
    <col min="15850" max="15896" width="14.44140625" style="338" customWidth="1"/>
    <col min="15897" max="16104" width="10.88671875" style="338" customWidth="1"/>
    <col min="16105" max="16105" width="16.88671875" style="338" customWidth="1"/>
    <col min="16106" max="16152" width="14.44140625" style="338" customWidth="1"/>
    <col min="16153" max="16384" width="10.88671875" style="338" customWidth="1"/>
  </cols>
  <sheetData>
    <row r="1" spans="2:24" ht="12.75" customHeight="1" x14ac:dyDescent="0.25">
      <c r="I1" s="339"/>
      <c r="J1" s="339"/>
      <c r="K1" s="339"/>
    </row>
    <row r="2" spans="2:24" ht="13.5" customHeight="1" x14ac:dyDescent="0.25"/>
    <row r="3" spans="2:24" ht="13.5" customHeight="1" x14ac:dyDescent="0.3">
      <c r="B3" s="533" t="s">
        <v>154</v>
      </c>
      <c r="C3" s="512"/>
      <c r="D3" s="512"/>
      <c r="E3" s="512"/>
      <c r="F3" s="512"/>
      <c r="G3" s="512"/>
      <c r="H3" s="512"/>
      <c r="I3" s="512"/>
      <c r="J3" s="512"/>
      <c r="K3" s="512"/>
      <c r="L3" s="512"/>
      <c r="M3" s="512"/>
      <c r="N3" s="512"/>
      <c r="O3" s="512"/>
      <c r="P3" s="512"/>
      <c r="Q3" s="512"/>
      <c r="R3" s="512"/>
      <c r="S3" s="512"/>
      <c r="T3" s="512"/>
      <c r="U3" s="512"/>
      <c r="V3" s="512"/>
      <c r="W3" s="512"/>
      <c r="X3" s="513"/>
    </row>
    <row r="4" spans="2:24" ht="13.5" customHeight="1" x14ac:dyDescent="0.25">
      <c r="B4" s="7"/>
      <c r="C4" s="7"/>
      <c r="D4" s="7"/>
      <c r="E4" s="7"/>
      <c r="F4" s="7"/>
      <c r="G4" s="7"/>
      <c r="H4" s="7"/>
      <c r="I4" s="7"/>
      <c r="J4" s="7"/>
      <c r="K4" s="7"/>
      <c r="L4" s="7"/>
      <c r="M4" s="7"/>
      <c r="N4" s="7"/>
      <c r="O4" s="7"/>
      <c r="P4" s="7"/>
      <c r="Q4" s="7"/>
      <c r="R4" s="7"/>
      <c r="S4" s="7"/>
      <c r="T4" s="7"/>
      <c r="U4" s="7"/>
      <c r="V4" s="7"/>
      <c r="W4" s="7"/>
      <c r="X4" s="7"/>
    </row>
    <row r="5" spans="2:24" ht="13.5" customHeight="1" x14ac:dyDescent="0.25">
      <c r="B5" s="340" t="s">
        <v>155</v>
      </c>
      <c r="C5" s="341"/>
      <c r="D5" s="342" t="s">
        <v>156</v>
      </c>
      <c r="E5" s="342" t="s">
        <v>157</v>
      </c>
      <c r="F5" s="342" t="s">
        <v>158</v>
      </c>
      <c r="G5" s="342" t="s">
        <v>159</v>
      </c>
      <c r="H5" s="342" t="s">
        <v>160</v>
      </c>
      <c r="I5" s="342" t="s">
        <v>161</v>
      </c>
      <c r="J5" s="342" t="s">
        <v>162</v>
      </c>
      <c r="K5" s="342" t="s">
        <v>163</v>
      </c>
      <c r="L5" s="342" t="s">
        <v>164</v>
      </c>
      <c r="M5" s="342" t="s">
        <v>165</v>
      </c>
      <c r="N5" s="342" t="s">
        <v>166</v>
      </c>
      <c r="O5" s="342" t="s">
        <v>167</v>
      </c>
      <c r="P5" s="342" t="s">
        <v>168</v>
      </c>
      <c r="Q5" s="342" t="s">
        <v>169</v>
      </c>
      <c r="R5" s="342" t="s">
        <v>170</v>
      </c>
      <c r="S5" s="343" t="s">
        <v>171</v>
      </c>
      <c r="T5" s="343" t="s">
        <v>172</v>
      </c>
      <c r="U5" s="343" t="s">
        <v>173</v>
      </c>
      <c r="V5" s="343" t="s">
        <v>174</v>
      </c>
      <c r="W5" s="343" t="s">
        <v>175</v>
      </c>
      <c r="X5" s="344" t="s">
        <v>106</v>
      </c>
    </row>
    <row r="6" spans="2:24" ht="12.75" customHeight="1" x14ac:dyDescent="0.25">
      <c r="B6" s="348" t="s">
        <v>176</v>
      </c>
      <c r="C6" s="346"/>
      <c r="D6" s="489">
        <v>1</v>
      </c>
      <c r="E6" s="489">
        <v>2</v>
      </c>
      <c r="F6" s="489">
        <v>3</v>
      </c>
      <c r="G6" s="489">
        <v>4</v>
      </c>
      <c r="H6" s="489">
        <v>5</v>
      </c>
      <c r="I6" s="489">
        <v>6</v>
      </c>
      <c r="J6" s="489">
        <v>7</v>
      </c>
      <c r="K6" s="489">
        <v>8</v>
      </c>
      <c r="L6" s="489">
        <v>9</v>
      </c>
      <c r="M6" s="489">
        <v>10</v>
      </c>
      <c r="N6" s="489">
        <v>11</v>
      </c>
      <c r="O6" s="489">
        <v>12</v>
      </c>
      <c r="P6" s="489">
        <v>13</v>
      </c>
      <c r="Q6" s="489">
        <v>14</v>
      </c>
      <c r="R6" s="489">
        <v>15</v>
      </c>
      <c r="S6" s="489">
        <v>16</v>
      </c>
      <c r="T6" s="489">
        <v>17</v>
      </c>
      <c r="U6" s="489">
        <v>18</v>
      </c>
      <c r="V6" s="489">
        <v>19</v>
      </c>
      <c r="W6" s="489">
        <v>20</v>
      </c>
      <c r="X6" s="346"/>
    </row>
    <row r="7" spans="2:24" ht="12.75" customHeight="1" x14ac:dyDescent="0.25">
      <c r="B7" s="348" t="s">
        <v>177</v>
      </c>
      <c r="C7" s="349"/>
      <c r="D7" s="490">
        <f>+(SUM(FLUJO!C94:C95)*IMPUESTOS!$AA$29)/(1+IMPUESTOS!$AA$21)*(D$6&lt;=FLUJO!$C$118)</f>
        <v>16340851239.669422</v>
      </c>
      <c r="E7" s="490">
        <f>+(SUM(FLUJO!D94:D95)*IMPUESTOS!$AA$29)/(1+IMPUESTOS!$AA$21)*(E$6&lt;=FLUJO!$C$118)</f>
        <v>0</v>
      </c>
      <c r="F7" s="490">
        <f>+(SUM(FLUJO!E94:E95)*IMPUESTOS!$AA$29)/(1+IMPUESTOS!$AA$21)*(F$6&lt;=FLUJO!$C$118)</f>
        <v>8256198347.1074381</v>
      </c>
      <c r="G7" s="490">
        <f>+(SUM(FLUJO!F94:F95)*IMPUESTOS!$AA$29)/(1+IMPUESTOS!$AA$21)*(G$6&lt;=FLUJO!$C$118)</f>
        <v>13760330578.512398</v>
      </c>
      <c r="H7" s="490">
        <f>+(SUM(FLUJO!G94:G95)*IMPUESTOS!$AA$29)/(1+IMPUESTOS!$AA$21)*(H$6&lt;=FLUJO!$C$118)</f>
        <v>6115702479.3388433</v>
      </c>
      <c r="I7" s="490">
        <f>+(SUM(FLUJO!H94:H95)*IMPUESTOS!$AA$29)/(1+IMPUESTOS!$AA$21)*(I$6&lt;=FLUJO!$C$118)</f>
        <v>9785123966.9421482</v>
      </c>
      <c r="J7" s="490">
        <f>+(SUM(FLUJO!I94:I95)*IMPUESTOS!$AA$29)/(1+IMPUESTOS!$AA$21)*(J$6&lt;=FLUJO!$C$118)</f>
        <v>14677685950.413223</v>
      </c>
      <c r="K7" s="491">
        <f>+(SUM(FLUJO!J94:J95)*IMPUESTOS!$AA$29)/(1+IMPUESTOS!$AA$21)*(K$6&lt;=FLUJO!$C$118)</f>
        <v>14677685950.413223</v>
      </c>
      <c r="L7" s="491">
        <f>+(SUM(FLUJO!K94:K95)*IMPUESTOS!$AA$29)/(1+IMPUESTOS!$AA$21)*(L$6&lt;=FLUJO!$C$118)</f>
        <v>9785123966.9421482</v>
      </c>
      <c r="M7" s="491">
        <f>+(SUM(FLUJO!L94:L95)*IMPUESTOS!$AA$29)/(1+IMPUESTOS!$AA$21)*(M$6&lt;=FLUJO!$C$118)</f>
        <v>0</v>
      </c>
      <c r="N7" s="491">
        <f>+(SUM(FLUJO!M94:M95)*IMPUESTOS!$AA$29)/(1+IMPUESTOS!$AA$21)*(N$6&lt;=FLUJO!$C$118)</f>
        <v>0</v>
      </c>
      <c r="O7" s="491">
        <f>+(SUM(FLUJO!N94:N95)*IMPUESTOS!$AA$29)/(1+IMPUESTOS!$AA$21)*(O$6&lt;=FLUJO!$C$118)</f>
        <v>0</v>
      </c>
      <c r="P7" s="491">
        <f>+(SUM(FLUJO!O94:O95)*IMPUESTOS!$AA$29)/(1+IMPUESTOS!$AA$21)*(P$6&lt;=FLUJO!$C$118)</f>
        <v>0</v>
      </c>
      <c r="Q7" s="491">
        <f>+(SUM(FLUJO!P94:P95)*IMPUESTOS!$AA$29)/(1+IMPUESTOS!$AA$21)*(Q$6&lt;=FLUJO!$C$118)</f>
        <v>0</v>
      </c>
      <c r="R7" s="491">
        <f>+(SUM(FLUJO!Q94:Q95)*IMPUESTOS!$AA$29)/(1+IMPUESTOS!$AA$21)*(R$6&lt;=FLUJO!$C$118)</f>
        <v>0</v>
      </c>
      <c r="S7" s="491">
        <f>+(SUM(FLUJO!R94:R95)*IMPUESTOS!$AA$29)/(1+IMPUESTOS!$AA$21)*(S$6&lt;=FLUJO!$C$118)</f>
        <v>0</v>
      </c>
      <c r="T7" s="491">
        <f>+(SUM(FLUJO!S94:S95)*IMPUESTOS!$AA$29)/(1+IMPUESTOS!$AA$21)*(T$6&lt;=FLUJO!$C$118)</f>
        <v>0</v>
      </c>
      <c r="U7" s="491">
        <f>+(SUM(FLUJO!T94:T95)*IMPUESTOS!$AA$29)/(1+IMPUESTOS!$AA$21)*(U$6&lt;=FLUJO!$C$118)</f>
        <v>0</v>
      </c>
      <c r="V7" s="491">
        <f>+(SUM(FLUJO!U94:U95)*IMPUESTOS!$AA$29)/(1+IMPUESTOS!$AA$21)*(V$6&lt;=FLUJO!$C$118)</f>
        <v>0</v>
      </c>
      <c r="W7" s="491">
        <f>+(SUM(FLUJO!V94:V95)*IMPUESTOS!$AA$29)/(1+IMPUESTOS!$AA$21)*(W$6&lt;=FLUJO!$C$118)</f>
        <v>0</v>
      </c>
      <c r="X7" s="350">
        <f>SUM(D7:W7)</f>
        <v>93398702479.338852</v>
      </c>
    </row>
    <row r="8" spans="2:24" ht="12.75" customHeight="1" x14ac:dyDescent="0.25">
      <c r="B8" s="348"/>
      <c r="C8" s="349"/>
      <c r="D8" s="351"/>
      <c r="E8" s="352"/>
      <c r="F8" s="352"/>
      <c r="G8" s="352"/>
      <c r="H8" s="352"/>
      <c r="I8" s="352"/>
      <c r="J8" s="352"/>
      <c r="K8" s="352"/>
      <c r="L8" s="352"/>
      <c r="M8" s="352"/>
      <c r="N8" s="352"/>
      <c r="O8" s="352"/>
      <c r="P8" s="352"/>
      <c r="Q8" s="352"/>
      <c r="R8" s="352"/>
      <c r="S8" s="352"/>
      <c r="T8" s="352"/>
      <c r="U8" s="352"/>
      <c r="V8" s="352"/>
      <c r="W8" s="352"/>
      <c r="X8" s="353"/>
    </row>
    <row r="9" spans="2:24" ht="12.75" customHeight="1" x14ac:dyDescent="0.25">
      <c r="B9" s="348" t="s">
        <v>178</v>
      </c>
      <c r="C9" s="349"/>
      <c r="D9" s="492">
        <f>MAX(1,MIN(CONTROL!$C$58,FLUJO!$C$118-D$6+1))</f>
        <v>5</v>
      </c>
      <c r="E9" s="492">
        <f>MAX(1,MIN(CONTROL!$C$58,FLUJO!$C$118-E$6+1))</f>
        <v>5</v>
      </c>
      <c r="F9" s="492">
        <f>MAX(1,MIN(CONTROL!$C$58,FLUJO!$C$118-F$6+1))</f>
        <v>5</v>
      </c>
      <c r="G9" s="492">
        <f>MAX(1,MIN(CONTROL!$C$58,FLUJO!$C$118-G$6+1))</f>
        <v>5</v>
      </c>
      <c r="H9" s="492">
        <f>MAX(1,MIN(CONTROL!$C$58,FLUJO!$C$118-H$6+1))</f>
        <v>5</v>
      </c>
      <c r="I9" s="492">
        <f>MAX(1,MIN(CONTROL!$C$58,FLUJO!$C$118-I$6+1))</f>
        <v>5</v>
      </c>
      <c r="J9" s="492">
        <f>MAX(1,MIN(CONTROL!$C$58,FLUJO!$C$118-J$6+1))</f>
        <v>5</v>
      </c>
      <c r="K9" s="492">
        <f>MAX(1,MIN(CONTROL!$C$58,FLUJO!$C$118-K$6+1))</f>
        <v>5</v>
      </c>
      <c r="L9" s="492">
        <f>MAX(1,MIN(CONTROL!$C$58,FLUJO!$C$118-L$6+1))</f>
        <v>5</v>
      </c>
      <c r="M9" s="492">
        <f>MAX(1,MIN(CONTROL!$C$58,FLUJO!$C$118-M$6+1))</f>
        <v>5</v>
      </c>
      <c r="N9" s="492">
        <f>MAX(1,MIN(CONTROL!$C$58,FLUJO!$C$118-N$6+1))</f>
        <v>5</v>
      </c>
      <c r="O9" s="492">
        <f>MAX(1,MIN(CONTROL!$C$58,FLUJO!$C$118-O$6+1))</f>
        <v>5</v>
      </c>
      <c r="P9" s="492">
        <f>MAX(1,MIN(CONTROL!$C$58,FLUJO!$C$118-P$6+1))</f>
        <v>5</v>
      </c>
      <c r="Q9" s="492">
        <f>MAX(1,MIN(CONTROL!$C$58,FLUJO!$C$118-Q$6+1))</f>
        <v>5</v>
      </c>
      <c r="R9" s="492">
        <f>MAX(1,MIN(CONTROL!$C$58,FLUJO!$C$118-R$6+1))</f>
        <v>5</v>
      </c>
      <c r="S9" s="492">
        <f>MAX(1,MIN(CONTROL!$C$58,FLUJO!$C$118-S$6+1))</f>
        <v>5</v>
      </c>
      <c r="T9" s="492">
        <f>MAX(1,MIN(CONTROL!$C$58,FLUJO!$C$118-T$6+1))</f>
        <v>4</v>
      </c>
      <c r="U9" s="492">
        <f>MAX(1,MIN(CONTROL!$C$58,FLUJO!$C$118-U$6+1))</f>
        <v>3</v>
      </c>
      <c r="V9" s="492">
        <f>MAX(1,MIN(CONTROL!$C$58,FLUJO!$C$118-V$6+1))</f>
        <v>2</v>
      </c>
      <c r="W9" s="492">
        <f>MAX(1,MIN(CONTROL!$C$58,FLUJO!$C$118-W$6+1))</f>
        <v>1</v>
      </c>
      <c r="X9" s="353"/>
    </row>
    <row r="10" spans="2:24" ht="12.75" customHeight="1" x14ac:dyDescent="0.25">
      <c r="B10" s="348"/>
      <c r="C10" s="349"/>
      <c r="D10" s="351"/>
      <c r="E10" s="352"/>
      <c r="F10" s="352"/>
      <c r="G10" s="352"/>
      <c r="H10" s="352"/>
      <c r="I10" s="352"/>
      <c r="J10" s="352"/>
      <c r="K10" s="352"/>
      <c r="L10" s="352"/>
      <c r="M10" s="352"/>
      <c r="N10" s="352"/>
      <c r="O10" s="352"/>
      <c r="P10" s="352"/>
      <c r="Q10" s="352"/>
      <c r="R10" s="352"/>
      <c r="S10" s="352"/>
      <c r="T10" s="352"/>
      <c r="U10" s="352"/>
      <c r="V10" s="352"/>
      <c r="W10" s="352"/>
      <c r="X10" s="353"/>
    </row>
    <row r="11" spans="2:24" ht="12.75" hidden="1" customHeight="1" x14ac:dyDescent="0.25">
      <c r="B11" s="493" t="s">
        <v>179</v>
      </c>
      <c r="C11" s="349"/>
      <c r="D11" s="351"/>
      <c r="E11" s="352"/>
      <c r="F11" s="352"/>
      <c r="G11" s="352"/>
      <c r="H11" s="352"/>
      <c r="I11" s="352"/>
      <c r="J11" s="352"/>
      <c r="K11" s="352"/>
      <c r="L11" s="352"/>
      <c r="M11" s="352"/>
      <c r="N11" s="352"/>
      <c r="O11" s="352"/>
      <c r="P11" s="352"/>
      <c r="Q11" s="352"/>
      <c r="R11" s="352"/>
      <c r="S11" s="352"/>
      <c r="T11" s="352"/>
      <c r="U11" s="352"/>
      <c r="V11" s="352"/>
      <c r="W11" s="352"/>
      <c r="X11" s="350"/>
    </row>
    <row r="12" spans="2:24" ht="12.75" hidden="1" customHeight="1" x14ac:dyDescent="0.25">
      <c r="B12" s="348"/>
      <c r="C12" s="349"/>
      <c r="D12" s="351"/>
      <c r="E12" s="352"/>
      <c r="F12" s="352"/>
      <c r="G12" s="352"/>
      <c r="H12" s="352"/>
      <c r="I12" s="352"/>
      <c r="J12" s="352"/>
      <c r="K12" s="352"/>
      <c r="L12" s="352"/>
      <c r="M12" s="352"/>
      <c r="N12" s="352"/>
      <c r="O12" s="352"/>
      <c r="P12" s="352"/>
      <c r="Q12" s="352"/>
      <c r="R12" s="352"/>
      <c r="S12" s="352"/>
      <c r="T12" s="352"/>
      <c r="U12" s="352"/>
      <c r="V12" s="352"/>
      <c r="W12" s="352"/>
      <c r="X12" s="350"/>
    </row>
    <row r="13" spans="2:24" ht="12.75" hidden="1" customHeight="1" x14ac:dyDescent="0.25">
      <c r="B13" s="348"/>
      <c r="C13" s="349"/>
      <c r="D13" s="351"/>
      <c r="E13" s="352"/>
      <c r="F13" s="352"/>
      <c r="G13" s="352"/>
      <c r="H13" s="352"/>
      <c r="I13" s="352"/>
      <c r="J13" s="352"/>
      <c r="K13" s="352"/>
      <c r="L13" s="352"/>
      <c r="M13" s="352"/>
      <c r="N13" s="352"/>
      <c r="O13" s="352"/>
      <c r="P13" s="352"/>
      <c r="Q13" s="352"/>
      <c r="R13" s="352"/>
      <c r="S13" s="352"/>
      <c r="T13" s="352"/>
      <c r="U13" s="352"/>
      <c r="V13" s="352"/>
      <c r="W13" s="352"/>
      <c r="X13" s="350"/>
    </row>
    <row r="14" spans="2:24" ht="12.75" hidden="1" customHeight="1" x14ac:dyDescent="0.25">
      <c r="B14" s="348"/>
      <c r="C14" s="349"/>
      <c r="D14" s="351"/>
      <c r="E14" s="352"/>
      <c r="F14" s="352"/>
      <c r="G14" s="352"/>
      <c r="H14" s="352"/>
      <c r="I14" s="352"/>
      <c r="J14" s="352"/>
      <c r="K14" s="352"/>
      <c r="L14" s="352"/>
      <c r="M14" s="352"/>
      <c r="N14" s="352"/>
      <c r="O14" s="352"/>
      <c r="P14" s="352"/>
      <c r="Q14" s="352"/>
      <c r="R14" s="352"/>
      <c r="S14" s="352"/>
      <c r="T14" s="352"/>
      <c r="U14" s="352"/>
      <c r="V14" s="352"/>
      <c r="W14" s="352"/>
      <c r="X14" s="350"/>
    </row>
    <row r="15" spans="2:24" ht="12.75" hidden="1" customHeight="1" x14ac:dyDescent="0.25">
      <c r="B15" s="348"/>
      <c r="C15" s="349"/>
      <c r="D15" s="351"/>
      <c r="E15" s="352"/>
      <c r="F15" s="352"/>
      <c r="G15" s="352"/>
      <c r="H15" s="352"/>
      <c r="I15" s="352"/>
      <c r="J15" s="352"/>
      <c r="K15" s="352"/>
      <c r="L15" s="352"/>
      <c r="M15" s="352"/>
      <c r="N15" s="352"/>
      <c r="O15" s="352"/>
      <c r="P15" s="352"/>
      <c r="Q15" s="352"/>
      <c r="R15" s="352"/>
      <c r="S15" s="352"/>
      <c r="T15" s="352"/>
      <c r="U15" s="352"/>
      <c r="V15" s="352"/>
      <c r="W15" s="352"/>
      <c r="X15" s="350"/>
    </row>
    <row r="16" spans="2:24" ht="12.75" hidden="1" customHeight="1" x14ac:dyDescent="0.25">
      <c r="B16" s="348"/>
      <c r="C16" s="349"/>
      <c r="D16" s="351"/>
      <c r="E16" s="352"/>
      <c r="F16" s="352"/>
      <c r="G16" s="352"/>
      <c r="H16" s="352"/>
      <c r="I16" s="352"/>
      <c r="J16" s="352"/>
      <c r="K16" s="352"/>
      <c r="L16" s="352"/>
      <c r="M16" s="352"/>
      <c r="N16" s="352"/>
      <c r="O16" s="352"/>
      <c r="P16" s="352"/>
      <c r="Q16" s="352"/>
      <c r="R16" s="352"/>
      <c r="S16" s="352"/>
      <c r="T16" s="352"/>
      <c r="U16" s="352"/>
      <c r="V16" s="352"/>
      <c r="W16" s="352"/>
      <c r="X16" s="350"/>
    </row>
    <row r="17" spans="2:24" ht="13.5" hidden="1" customHeight="1" x14ac:dyDescent="0.25">
      <c r="B17" s="348"/>
      <c r="C17" s="349"/>
      <c r="D17" s="351"/>
      <c r="E17" s="352"/>
      <c r="F17" s="352"/>
      <c r="G17" s="352"/>
      <c r="H17" s="352"/>
      <c r="I17" s="352"/>
      <c r="J17" s="352"/>
      <c r="K17" s="352"/>
      <c r="L17" s="352"/>
      <c r="M17" s="352"/>
      <c r="N17" s="352"/>
      <c r="O17" s="352"/>
      <c r="P17" s="352"/>
      <c r="Q17" s="352"/>
      <c r="R17" s="352"/>
      <c r="S17" s="352"/>
      <c r="T17" s="352"/>
      <c r="U17" s="352"/>
      <c r="V17" s="352"/>
      <c r="W17" s="352"/>
      <c r="X17" s="350"/>
    </row>
    <row r="18" spans="2:24" ht="13.5" customHeight="1" x14ac:dyDescent="0.25">
      <c r="B18" s="354" t="s">
        <v>180</v>
      </c>
      <c r="C18" s="355"/>
      <c r="D18" s="494">
        <f t="shared" ref="D18:W18" si="0">SUMPRODUCT($D$7:$W$7/$D$9:$W$9*($D$6:$W$6&lt;=D$6)*(D$6-$D$6:$W$6&lt;$D$9:$W$9))</f>
        <v>3268170247.9338846</v>
      </c>
      <c r="E18" s="495">
        <f t="shared" si="0"/>
        <v>3268170247.9338846</v>
      </c>
      <c r="F18" s="495">
        <f t="shared" si="0"/>
        <v>4919409917.3553724</v>
      </c>
      <c r="G18" s="495">
        <f t="shared" si="0"/>
        <v>7671476033.0578518</v>
      </c>
      <c r="H18" s="495">
        <f t="shared" si="0"/>
        <v>8894616528.925621</v>
      </c>
      <c r="I18" s="495">
        <f t="shared" si="0"/>
        <v>7583471074.3801651</v>
      </c>
      <c r="J18" s="495">
        <f t="shared" si="0"/>
        <v>10519008264.462811</v>
      </c>
      <c r="K18" s="495">
        <f t="shared" si="0"/>
        <v>11803305785.123966</v>
      </c>
      <c r="L18" s="495">
        <f t="shared" si="0"/>
        <v>11008264462.809916</v>
      </c>
      <c r="M18" s="495">
        <f t="shared" si="0"/>
        <v>9785123966.9421482</v>
      </c>
      <c r="N18" s="495">
        <f t="shared" si="0"/>
        <v>7828099173.5537186</v>
      </c>
      <c r="O18" s="495">
        <f t="shared" si="0"/>
        <v>4892561983.4710741</v>
      </c>
      <c r="P18" s="495">
        <f t="shared" si="0"/>
        <v>1957024793.3884296</v>
      </c>
      <c r="Q18" s="495">
        <f t="shared" si="0"/>
        <v>0</v>
      </c>
      <c r="R18" s="495">
        <f t="shared" si="0"/>
        <v>0</v>
      </c>
      <c r="S18" s="495">
        <f t="shared" si="0"/>
        <v>0</v>
      </c>
      <c r="T18" s="495">
        <f t="shared" si="0"/>
        <v>0</v>
      </c>
      <c r="U18" s="495">
        <f t="shared" si="0"/>
        <v>0</v>
      </c>
      <c r="V18" s="495">
        <f t="shared" si="0"/>
        <v>0</v>
      </c>
      <c r="W18" s="495">
        <f t="shared" si="0"/>
        <v>0</v>
      </c>
      <c r="X18" s="356">
        <f>SUM(D18:W18)</f>
        <v>93398702479.338837</v>
      </c>
    </row>
    <row r="19" spans="2:24" ht="12.75" customHeight="1" x14ac:dyDescent="0.25">
      <c r="B19" s="348"/>
      <c r="C19" s="349"/>
      <c r="D19" s="351"/>
      <c r="E19" s="352"/>
      <c r="F19" s="352"/>
      <c r="G19" s="352"/>
      <c r="H19" s="352"/>
      <c r="I19" s="352"/>
      <c r="J19" s="352"/>
      <c r="K19" s="352"/>
      <c r="L19" s="352"/>
      <c r="M19" s="352"/>
      <c r="N19" s="352"/>
      <c r="O19" s="352"/>
      <c r="P19" s="352"/>
      <c r="Q19" s="352"/>
      <c r="R19" s="352"/>
      <c r="S19" s="352"/>
      <c r="T19" s="352"/>
      <c r="U19" s="352"/>
      <c r="V19" s="352"/>
      <c r="W19" s="352"/>
      <c r="X19" s="353"/>
    </row>
    <row r="20" spans="2:24" ht="12.75" customHeight="1" x14ac:dyDescent="0.25">
      <c r="B20" s="348" t="s">
        <v>181</v>
      </c>
      <c r="C20" s="349"/>
      <c r="D20" s="490">
        <f>+(FLUJO!C96*IMPUESTOS!$AA$29)/(1+IMPUESTOS!$AA$21)*(D$6&lt;=FLUJO!$C$118)</f>
        <v>0</v>
      </c>
      <c r="E20" s="490">
        <f>+(FLUJO!D96*IMPUESTOS!$AA$29)/(1+IMPUESTOS!$AA$21)*(E$6&lt;=FLUJO!$C$118)</f>
        <v>5234135280.9917364</v>
      </c>
      <c r="F20" s="490">
        <f>+(FLUJO!E96*IMPUESTOS!$AA$29)/(1+IMPUESTOS!$AA$21)*(F$6&lt;=FLUJO!$C$118)</f>
        <v>5234135280.9917364</v>
      </c>
      <c r="G20" s="490">
        <f>+(FLUJO!F96*IMPUESTOS!$AA$29)/(1+IMPUESTOS!$AA$21)*(G$6&lt;=FLUJO!$C$118)</f>
        <v>5234135280.9917364</v>
      </c>
      <c r="H20" s="490">
        <f>+(FLUJO!G96*IMPUESTOS!$AA$29)/(1+IMPUESTOS!$AA$21)*(H$6&lt;=FLUJO!$C$118)</f>
        <v>5234135280.9917364</v>
      </c>
      <c r="I20" s="490">
        <f>+(FLUJO!H96*IMPUESTOS!$AA$29)/(1+IMPUESTOS!$AA$21)*(I$6&lt;=FLUJO!$C$118)</f>
        <v>5234135280.9917364</v>
      </c>
      <c r="J20" s="490">
        <f>+(FLUJO!I96*IMPUESTOS!$AA$29)/(1+IMPUESTOS!$AA$21)*(J$6&lt;=FLUJO!$C$118)</f>
        <v>5234135280.9917364</v>
      </c>
      <c r="K20" s="490">
        <f>+(FLUJO!J96*IMPUESTOS!$AA$29)/(1+IMPUESTOS!$AA$21)*(K$6&lt;=FLUJO!$C$118)</f>
        <v>5234135280.9917364</v>
      </c>
      <c r="L20" s="490">
        <f>+(FLUJO!K96*IMPUESTOS!$AA$29)/(1+IMPUESTOS!$AA$21)*(L$6&lt;=FLUJO!$C$118)</f>
        <v>5234135280.9917364</v>
      </c>
      <c r="M20" s="490">
        <f>+(FLUJO!L96*IMPUESTOS!$AA$29)/(1+IMPUESTOS!$AA$21)*(M$6&lt;=FLUJO!$C$118)</f>
        <v>5234135280.9917364</v>
      </c>
      <c r="N20" s="490">
        <f>+(FLUJO!M96*IMPUESTOS!$AA$29)/(1+IMPUESTOS!$AA$21)*(N$6&lt;=FLUJO!$C$118)</f>
        <v>5234135280.9917364</v>
      </c>
      <c r="O20" s="490">
        <f>+(FLUJO!N96*IMPUESTOS!$AA$29)/(1+IMPUESTOS!$AA$21)*(O$6&lt;=FLUJO!$C$118)</f>
        <v>5234135280.9917364</v>
      </c>
      <c r="P20" s="490">
        <f>+(FLUJO!O96*IMPUESTOS!$AA$29)/(1+IMPUESTOS!$AA$21)*(P$6&lt;=FLUJO!$C$118)</f>
        <v>5234135280.9917364</v>
      </c>
      <c r="Q20" s="490">
        <f>+(FLUJO!P96*IMPUESTOS!$AA$29)/(1+IMPUESTOS!$AA$21)*(Q$6&lt;=FLUJO!$C$118)</f>
        <v>5234135280.9917364</v>
      </c>
      <c r="R20" s="490">
        <f>+(FLUJO!Q96*IMPUESTOS!$AA$29)/(1+IMPUESTOS!$AA$21)*(R$6&lt;=FLUJO!$C$118)</f>
        <v>5234135280.9917364</v>
      </c>
      <c r="S20" s="490">
        <f>+(FLUJO!R96*IMPUESTOS!$AA$29)/(1+IMPUESTOS!$AA$21)*(S$6&lt;=FLUJO!$C$118)</f>
        <v>5234135280.9917364</v>
      </c>
      <c r="T20" s="490">
        <f>+(FLUJO!S96*IMPUESTOS!$AA$29)/(1+IMPUESTOS!$AA$21)*(T$6&lt;=FLUJO!$C$118)</f>
        <v>5234135280.9917364</v>
      </c>
      <c r="U20" s="490">
        <f>+(FLUJO!T96*IMPUESTOS!$AA$29)/(1+IMPUESTOS!$AA$21)*(U$6&lt;=FLUJO!$C$118)</f>
        <v>5234135280.9917364</v>
      </c>
      <c r="V20" s="490">
        <f>+(FLUJO!U96*IMPUESTOS!$AA$29)/(1+IMPUESTOS!$AA$21)*(V$6&lt;=FLUJO!$C$118)</f>
        <v>5234135280.9917364</v>
      </c>
      <c r="W20" s="490">
        <f>+(FLUJO!V96*IMPUESTOS!$AA$29)/(1+IMPUESTOS!$AA$21)*(W$6&lt;=FLUJO!$C$118)</f>
        <v>5234135280.9917364</v>
      </c>
      <c r="X20" s="350">
        <f>SUM(D20:W20)</f>
        <v>99448570338.842957</v>
      </c>
    </row>
    <row r="21" spans="2:24" ht="12.75" customHeight="1" x14ac:dyDescent="0.25">
      <c r="B21" s="348"/>
      <c r="C21" s="349"/>
      <c r="D21" s="351"/>
      <c r="E21" s="352"/>
      <c r="F21" s="352"/>
      <c r="G21" s="352"/>
      <c r="H21" s="352"/>
      <c r="I21" s="352"/>
      <c r="J21" s="352"/>
      <c r="K21" s="352"/>
      <c r="L21" s="352"/>
      <c r="M21" s="352"/>
      <c r="N21" s="352"/>
      <c r="O21" s="352"/>
      <c r="P21" s="352"/>
      <c r="Q21" s="352"/>
      <c r="R21" s="352"/>
      <c r="S21" s="352"/>
      <c r="T21" s="352"/>
      <c r="U21" s="352"/>
      <c r="V21" s="352"/>
      <c r="W21" s="352"/>
      <c r="X21" s="353"/>
    </row>
    <row r="22" spans="2:24" ht="12.75" customHeight="1" x14ac:dyDescent="0.25">
      <c r="B22" s="348" t="s">
        <v>178</v>
      </c>
      <c r="C22" s="349"/>
      <c r="D22" s="491">
        <f>MAX(1,MIN(CONTROL!$C$57,FLUJO!$C$118-D$6+1))</f>
        <v>5</v>
      </c>
      <c r="E22" s="491">
        <f>MAX(1,MIN(CONTROL!$C$57,FLUJO!$C$118-E$6+1))</f>
        <v>5</v>
      </c>
      <c r="F22" s="491">
        <f>MAX(1,MIN(CONTROL!$C$57,FLUJO!$C$118-F$6+1))</f>
        <v>5</v>
      </c>
      <c r="G22" s="491">
        <f>MAX(1,MIN(CONTROL!$C$57,FLUJO!$C$118-G$6+1))</f>
        <v>5</v>
      </c>
      <c r="H22" s="491">
        <f>MAX(1,MIN(CONTROL!$C$57,FLUJO!$C$118-H$6+1))</f>
        <v>5</v>
      </c>
      <c r="I22" s="491">
        <f>MAX(1,MIN(CONTROL!$C$57,FLUJO!$C$118-I$6+1))</f>
        <v>5</v>
      </c>
      <c r="J22" s="491">
        <f>MAX(1,MIN(CONTROL!$C$57,FLUJO!$C$118-J$6+1))</f>
        <v>5</v>
      </c>
      <c r="K22" s="491">
        <f>MAX(1,MIN(CONTROL!$C$57,FLUJO!$C$118-K$6+1))</f>
        <v>5</v>
      </c>
      <c r="L22" s="491">
        <f>MAX(1,MIN(CONTROL!$C$57,FLUJO!$C$118-L$6+1))</f>
        <v>5</v>
      </c>
      <c r="M22" s="491">
        <f>MAX(1,MIN(CONTROL!$C$57,FLUJO!$C$118-M$6+1))</f>
        <v>5</v>
      </c>
      <c r="N22" s="491">
        <f>MAX(1,MIN(CONTROL!$C$57,FLUJO!$C$118-N$6+1))</f>
        <v>5</v>
      </c>
      <c r="O22" s="491">
        <f>MAX(1,MIN(CONTROL!$C$57,FLUJO!$C$118-O$6+1))</f>
        <v>5</v>
      </c>
      <c r="P22" s="491">
        <f>MAX(1,MIN(CONTROL!$C$57,FLUJO!$C$118-P$6+1))</f>
        <v>5</v>
      </c>
      <c r="Q22" s="491">
        <f>MAX(1,MIN(CONTROL!$C$57,FLUJO!$C$118-Q$6+1))</f>
        <v>5</v>
      </c>
      <c r="R22" s="491">
        <f>MAX(1,MIN(CONTROL!$C$57,FLUJO!$C$118-R$6+1))</f>
        <v>5</v>
      </c>
      <c r="S22" s="491">
        <f>MAX(1,MIN(CONTROL!$C$57,FLUJO!$C$118-S$6+1))</f>
        <v>5</v>
      </c>
      <c r="T22" s="491">
        <f>MAX(1,MIN(CONTROL!$C$57,FLUJO!$C$118-T$6+1))</f>
        <v>4</v>
      </c>
      <c r="U22" s="491">
        <f>MAX(1,MIN(CONTROL!$C$57,FLUJO!$C$118-U$6+1))</f>
        <v>3</v>
      </c>
      <c r="V22" s="491">
        <f>MAX(1,MIN(CONTROL!$C$57,FLUJO!$C$118-V$6+1))</f>
        <v>2</v>
      </c>
      <c r="W22" s="491">
        <f>MAX(1,MIN(CONTROL!$C$57,FLUJO!$C$118-W$6+1))</f>
        <v>1</v>
      </c>
      <c r="X22" s="353"/>
    </row>
    <row r="23" spans="2:24" ht="12.75" customHeight="1" x14ac:dyDescent="0.25">
      <c r="B23" s="348"/>
      <c r="C23" s="349"/>
      <c r="D23" s="351"/>
      <c r="E23" s="352"/>
      <c r="F23" s="352"/>
      <c r="G23" s="352"/>
      <c r="H23" s="352"/>
      <c r="I23" s="352"/>
      <c r="J23" s="352"/>
      <c r="K23" s="352"/>
      <c r="L23" s="352"/>
      <c r="M23" s="352"/>
      <c r="N23" s="352"/>
      <c r="O23" s="352"/>
      <c r="P23" s="352"/>
      <c r="Q23" s="352"/>
      <c r="R23" s="352"/>
      <c r="S23" s="352"/>
      <c r="T23" s="352"/>
      <c r="U23" s="352"/>
      <c r="V23" s="352"/>
      <c r="W23" s="352"/>
      <c r="X23" s="353"/>
    </row>
    <row r="24" spans="2:24" ht="12.75" hidden="1" customHeight="1" x14ac:dyDescent="0.25">
      <c r="B24" s="493" t="s">
        <v>179</v>
      </c>
      <c r="C24" s="349"/>
      <c r="D24" s="351"/>
      <c r="E24" s="352"/>
      <c r="F24" s="352"/>
      <c r="G24" s="352"/>
      <c r="H24" s="352"/>
      <c r="I24" s="352"/>
      <c r="J24" s="352"/>
      <c r="K24" s="352"/>
      <c r="L24" s="352"/>
      <c r="M24" s="352"/>
      <c r="N24" s="352"/>
      <c r="O24" s="352"/>
      <c r="P24" s="352"/>
      <c r="Q24" s="352"/>
      <c r="R24" s="352"/>
      <c r="S24" s="352"/>
      <c r="T24" s="352"/>
      <c r="U24" s="352"/>
      <c r="V24" s="352"/>
      <c r="W24" s="352"/>
      <c r="X24" s="353"/>
    </row>
    <row r="25" spans="2:24" ht="12.75" hidden="1" customHeight="1" x14ac:dyDescent="0.25">
      <c r="B25" s="348"/>
      <c r="C25" s="349"/>
      <c r="D25" s="351"/>
      <c r="E25" s="352"/>
      <c r="F25" s="352"/>
      <c r="G25" s="352"/>
      <c r="H25" s="352"/>
      <c r="I25" s="352"/>
      <c r="J25" s="352"/>
      <c r="K25" s="352"/>
      <c r="L25" s="352"/>
      <c r="M25" s="352"/>
      <c r="N25" s="352"/>
      <c r="O25" s="352"/>
      <c r="P25" s="352"/>
      <c r="Q25" s="352"/>
      <c r="R25" s="352"/>
      <c r="S25" s="352"/>
      <c r="T25" s="352"/>
      <c r="U25" s="352"/>
      <c r="V25" s="352"/>
      <c r="W25" s="352"/>
      <c r="X25" s="353"/>
    </row>
    <row r="26" spans="2:24" ht="12.75" hidden="1" customHeight="1" x14ac:dyDescent="0.25">
      <c r="B26" s="348"/>
      <c r="C26" s="349"/>
      <c r="D26" s="351"/>
      <c r="E26" s="352"/>
      <c r="F26" s="352"/>
      <c r="G26" s="352"/>
      <c r="H26" s="352"/>
      <c r="I26" s="352"/>
      <c r="J26" s="352"/>
      <c r="K26" s="352"/>
      <c r="L26" s="352"/>
      <c r="M26" s="352"/>
      <c r="N26" s="352"/>
      <c r="O26" s="352"/>
      <c r="P26" s="352"/>
      <c r="Q26" s="352"/>
      <c r="R26" s="352"/>
      <c r="S26" s="352"/>
      <c r="T26" s="352"/>
      <c r="U26" s="352"/>
      <c r="V26" s="352"/>
      <c r="W26" s="352"/>
      <c r="X26" s="353"/>
    </row>
    <row r="27" spans="2:24" ht="12.75" hidden="1" customHeight="1" x14ac:dyDescent="0.25">
      <c r="B27" s="348"/>
      <c r="C27" s="349"/>
      <c r="D27" s="351"/>
      <c r="E27" s="352"/>
      <c r="F27" s="352"/>
      <c r="G27" s="352"/>
      <c r="H27" s="352"/>
      <c r="I27" s="352"/>
      <c r="J27" s="352"/>
      <c r="K27" s="352"/>
      <c r="L27" s="352"/>
      <c r="M27" s="352"/>
      <c r="N27" s="352"/>
      <c r="O27" s="352"/>
      <c r="P27" s="352"/>
      <c r="Q27" s="352"/>
      <c r="R27" s="352"/>
      <c r="S27" s="352"/>
      <c r="T27" s="352"/>
      <c r="U27" s="352"/>
      <c r="V27" s="352"/>
      <c r="W27" s="352"/>
      <c r="X27" s="353"/>
    </row>
    <row r="28" spans="2:24" ht="12.75" hidden="1" customHeight="1" x14ac:dyDescent="0.25">
      <c r="B28" s="348"/>
      <c r="C28" s="349"/>
      <c r="D28" s="351"/>
      <c r="E28" s="352"/>
      <c r="F28" s="352"/>
      <c r="G28" s="352"/>
      <c r="H28" s="352"/>
      <c r="I28" s="352"/>
      <c r="J28" s="352"/>
      <c r="K28" s="352"/>
      <c r="L28" s="352"/>
      <c r="M28" s="352"/>
      <c r="N28" s="352"/>
      <c r="O28" s="352"/>
      <c r="P28" s="352"/>
      <c r="Q28" s="352"/>
      <c r="R28" s="352"/>
      <c r="S28" s="352"/>
      <c r="T28" s="352"/>
      <c r="U28" s="352"/>
      <c r="V28" s="352"/>
      <c r="W28" s="352"/>
      <c r="X28" s="353"/>
    </row>
    <row r="29" spans="2:24" ht="12.75" hidden="1" customHeight="1" x14ac:dyDescent="0.25">
      <c r="B29" s="348"/>
      <c r="C29" s="349"/>
      <c r="D29" s="351"/>
      <c r="E29" s="352"/>
      <c r="F29" s="352"/>
      <c r="G29" s="352"/>
      <c r="H29" s="352"/>
      <c r="I29" s="352"/>
      <c r="J29" s="352"/>
      <c r="K29" s="352"/>
      <c r="L29" s="352"/>
      <c r="M29" s="352"/>
      <c r="N29" s="352"/>
      <c r="O29" s="352"/>
      <c r="P29" s="352"/>
      <c r="Q29" s="352"/>
      <c r="R29" s="352"/>
      <c r="S29" s="352"/>
      <c r="T29" s="352"/>
      <c r="U29" s="352"/>
      <c r="V29" s="352"/>
      <c r="W29" s="352"/>
      <c r="X29" s="353"/>
    </row>
    <row r="30" spans="2:24" ht="12.75" hidden="1" customHeight="1" x14ac:dyDescent="0.25">
      <c r="B30" s="348"/>
      <c r="C30" s="349"/>
      <c r="D30" s="351"/>
      <c r="E30" s="352"/>
      <c r="F30" s="352"/>
      <c r="G30" s="352"/>
      <c r="H30" s="352"/>
      <c r="I30" s="352"/>
      <c r="J30" s="352"/>
      <c r="K30" s="352"/>
      <c r="L30" s="352"/>
      <c r="M30" s="352"/>
      <c r="N30" s="352"/>
      <c r="O30" s="352"/>
      <c r="P30" s="352"/>
      <c r="Q30" s="352"/>
      <c r="R30" s="352"/>
      <c r="S30" s="352"/>
      <c r="T30" s="352"/>
      <c r="U30" s="352"/>
      <c r="V30" s="352"/>
      <c r="W30" s="352"/>
      <c r="X30" s="353"/>
    </row>
    <row r="31" spans="2:24" ht="12.75" hidden="1" customHeight="1" x14ac:dyDescent="0.25">
      <c r="B31" s="348"/>
      <c r="C31" s="349"/>
      <c r="D31" s="351"/>
      <c r="E31" s="352"/>
      <c r="F31" s="352"/>
      <c r="G31" s="352"/>
      <c r="H31" s="352"/>
      <c r="I31" s="352"/>
      <c r="J31" s="352"/>
      <c r="K31" s="352"/>
      <c r="L31" s="352"/>
      <c r="M31" s="352"/>
      <c r="N31" s="352"/>
      <c r="O31" s="352"/>
      <c r="P31" s="352"/>
      <c r="Q31" s="352"/>
      <c r="R31" s="352"/>
      <c r="S31" s="352"/>
      <c r="T31" s="352"/>
      <c r="U31" s="352"/>
      <c r="V31" s="352"/>
      <c r="W31" s="352"/>
      <c r="X31" s="353"/>
    </row>
    <row r="32" spans="2:24" ht="12.75" hidden="1" customHeight="1" x14ac:dyDescent="0.25">
      <c r="B32" s="348"/>
      <c r="C32" s="349"/>
      <c r="D32" s="351"/>
      <c r="E32" s="352"/>
      <c r="F32" s="352"/>
      <c r="G32" s="352"/>
      <c r="H32" s="352"/>
      <c r="I32" s="352"/>
      <c r="J32" s="352"/>
      <c r="K32" s="352"/>
      <c r="L32" s="352"/>
      <c r="M32" s="352"/>
      <c r="N32" s="352"/>
      <c r="O32" s="352"/>
      <c r="P32" s="352"/>
      <c r="Q32" s="352"/>
      <c r="R32" s="352"/>
      <c r="S32" s="352"/>
      <c r="T32" s="352"/>
      <c r="U32" s="352"/>
      <c r="V32" s="352"/>
      <c r="W32" s="352"/>
      <c r="X32" s="353"/>
    </row>
    <row r="33" spans="2:24" ht="12.75" hidden="1" customHeight="1" x14ac:dyDescent="0.25">
      <c r="B33" s="348"/>
      <c r="C33" s="349"/>
      <c r="D33" s="351"/>
      <c r="E33" s="352"/>
      <c r="F33" s="352"/>
      <c r="G33" s="352"/>
      <c r="H33" s="352"/>
      <c r="I33" s="352"/>
      <c r="J33" s="352"/>
      <c r="K33" s="352"/>
      <c r="L33" s="352"/>
      <c r="M33" s="352"/>
      <c r="N33" s="352"/>
      <c r="O33" s="352"/>
      <c r="P33" s="352"/>
      <c r="Q33" s="352"/>
      <c r="R33" s="352"/>
      <c r="S33" s="352"/>
      <c r="T33" s="352"/>
      <c r="U33" s="352"/>
      <c r="V33" s="352"/>
      <c r="W33" s="352"/>
      <c r="X33" s="353"/>
    </row>
    <row r="34" spans="2:24" ht="12.75" hidden="1" customHeight="1" x14ac:dyDescent="0.25">
      <c r="B34" s="348"/>
      <c r="C34" s="349"/>
      <c r="D34" s="351"/>
      <c r="E34" s="352"/>
      <c r="F34" s="352"/>
      <c r="G34" s="352"/>
      <c r="H34" s="352"/>
      <c r="I34" s="352"/>
      <c r="J34" s="352"/>
      <c r="K34" s="352"/>
      <c r="L34" s="352"/>
      <c r="M34" s="352"/>
      <c r="N34" s="352"/>
      <c r="O34" s="352"/>
      <c r="P34" s="352"/>
      <c r="Q34" s="352"/>
      <c r="R34" s="352"/>
      <c r="S34" s="352"/>
      <c r="T34" s="352"/>
      <c r="U34" s="352"/>
      <c r="V34" s="352"/>
      <c r="W34" s="352"/>
      <c r="X34" s="353"/>
    </row>
    <row r="35" spans="2:24" ht="12.75" hidden="1" customHeight="1" x14ac:dyDescent="0.25">
      <c r="B35" s="348"/>
      <c r="C35" s="349"/>
      <c r="D35" s="351"/>
      <c r="E35" s="352"/>
      <c r="F35" s="352"/>
      <c r="G35" s="352"/>
      <c r="H35" s="352"/>
      <c r="I35" s="352"/>
      <c r="J35" s="352"/>
      <c r="K35" s="352"/>
      <c r="L35" s="352"/>
      <c r="M35" s="352"/>
      <c r="N35" s="352"/>
      <c r="O35" s="352"/>
      <c r="P35" s="352"/>
      <c r="Q35" s="352"/>
      <c r="R35" s="352"/>
      <c r="S35" s="352"/>
      <c r="T35" s="352"/>
      <c r="U35" s="352"/>
      <c r="V35" s="352"/>
      <c r="W35" s="352"/>
      <c r="X35" s="353"/>
    </row>
    <row r="36" spans="2:24" ht="12.75" hidden="1" customHeight="1" x14ac:dyDescent="0.25">
      <c r="B36" s="348"/>
      <c r="C36" s="349"/>
      <c r="D36" s="351"/>
      <c r="E36" s="352"/>
      <c r="F36" s="352"/>
      <c r="G36" s="352"/>
      <c r="H36" s="352"/>
      <c r="I36" s="352"/>
      <c r="J36" s="352"/>
      <c r="K36" s="352"/>
      <c r="L36" s="352"/>
      <c r="M36" s="352"/>
      <c r="N36" s="352"/>
      <c r="O36" s="352"/>
      <c r="P36" s="352"/>
      <c r="Q36" s="352"/>
      <c r="R36" s="352"/>
      <c r="S36" s="352"/>
      <c r="T36" s="352"/>
      <c r="U36" s="352"/>
      <c r="V36" s="352"/>
      <c r="W36" s="352"/>
      <c r="X36" s="353"/>
    </row>
    <row r="37" spans="2:24" ht="12.75" hidden="1" customHeight="1" x14ac:dyDescent="0.25">
      <c r="B37" s="348"/>
      <c r="C37" s="349"/>
      <c r="D37" s="351"/>
      <c r="E37" s="352"/>
      <c r="F37" s="352"/>
      <c r="G37" s="352"/>
      <c r="H37" s="352"/>
      <c r="I37" s="352"/>
      <c r="J37" s="352"/>
      <c r="K37" s="352"/>
      <c r="L37" s="352"/>
      <c r="M37" s="352"/>
      <c r="N37" s="352"/>
      <c r="O37" s="352"/>
      <c r="P37" s="352"/>
      <c r="Q37" s="352"/>
      <c r="R37" s="352"/>
      <c r="S37" s="352"/>
      <c r="T37" s="352"/>
      <c r="U37" s="352"/>
      <c r="V37" s="352"/>
      <c r="W37" s="352"/>
      <c r="X37" s="353"/>
    </row>
    <row r="38" spans="2:24" ht="12.75" hidden="1" customHeight="1" x14ac:dyDescent="0.25">
      <c r="B38" s="348"/>
      <c r="C38" s="349"/>
      <c r="D38" s="351"/>
      <c r="E38" s="352"/>
      <c r="F38" s="352"/>
      <c r="G38" s="352"/>
      <c r="H38" s="352"/>
      <c r="I38" s="352"/>
      <c r="J38" s="352"/>
      <c r="K38" s="352"/>
      <c r="L38" s="352"/>
      <c r="M38" s="352"/>
      <c r="N38" s="352"/>
      <c r="O38" s="352"/>
      <c r="P38" s="352"/>
      <c r="Q38" s="352"/>
      <c r="R38" s="352"/>
      <c r="S38" s="352"/>
      <c r="T38" s="352"/>
      <c r="U38" s="352"/>
      <c r="V38" s="352"/>
      <c r="W38" s="352"/>
      <c r="X38" s="353"/>
    </row>
    <row r="39" spans="2:24" ht="12.75" hidden="1" customHeight="1" x14ac:dyDescent="0.25">
      <c r="B39" s="348"/>
      <c r="C39" s="349"/>
      <c r="D39" s="351"/>
      <c r="E39" s="352"/>
      <c r="F39" s="352"/>
      <c r="G39" s="352"/>
      <c r="H39" s="352"/>
      <c r="I39" s="352"/>
      <c r="J39" s="352"/>
      <c r="K39" s="352"/>
      <c r="L39" s="352"/>
      <c r="M39" s="352"/>
      <c r="N39" s="352"/>
      <c r="O39" s="352"/>
      <c r="P39" s="352"/>
      <c r="Q39" s="352"/>
      <c r="R39" s="352"/>
      <c r="S39" s="352"/>
      <c r="T39" s="352"/>
      <c r="U39" s="352"/>
      <c r="V39" s="352"/>
      <c r="W39" s="352"/>
      <c r="X39" s="353"/>
    </row>
    <row r="40" spans="2:24" ht="12.75" hidden="1" customHeight="1" x14ac:dyDescent="0.25">
      <c r="B40" s="348"/>
      <c r="C40" s="349"/>
      <c r="D40" s="351"/>
      <c r="E40" s="352"/>
      <c r="F40" s="352"/>
      <c r="G40" s="352"/>
      <c r="H40" s="352"/>
      <c r="I40" s="352"/>
      <c r="J40" s="352"/>
      <c r="K40" s="352"/>
      <c r="L40" s="352"/>
      <c r="M40" s="352"/>
      <c r="N40" s="352"/>
      <c r="O40" s="352"/>
      <c r="P40" s="352"/>
      <c r="Q40" s="352"/>
      <c r="R40" s="352"/>
      <c r="S40" s="352"/>
      <c r="T40" s="352"/>
      <c r="U40" s="352"/>
      <c r="V40" s="352"/>
      <c r="W40" s="352"/>
      <c r="X40" s="353"/>
    </row>
    <row r="41" spans="2:24" ht="12.75" hidden="1" customHeight="1" x14ac:dyDescent="0.25">
      <c r="B41" s="348"/>
      <c r="C41" s="349"/>
      <c r="D41" s="351"/>
      <c r="E41" s="352"/>
      <c r="F41" s="352"/>
      <c r="G41" s="352"/>
      <c r="H41" s="352"/>
      <c r="I41" s="352"/>
      <c r="J41" s="352"/>
      <c r="K41" s="352"/>
      <c r="L41" s="352"/>
      <c r="M41" s="352"/>
      <c r="N41" s="352"/>
      <c r="O41" s="352"/>
      <c r="P41" s="352"/>
      <c r="Q41" s="352"/>
      <c r="R41" s="352"/>
      <c r="S41" s="352"/>
      <c r="T41" s="352"/>
      <c r="U41" s="352"/>
      <c r="V41" s="352"/>
      <c r="W41" s="352"/>
      <c r="X41" s="353"/>
    </row>
    <row r="42" spans="2:24" ht="12.75" hidden="1" customHeight="1" x14ac:dyDescent="0.25">
      <c r="B42" s="348"/>
      <c r="C42" s="349"/>
      <c r="D42" s="351"/>
      <c r="E42" s="352"/>
      <c r="F42" s="352"/>
      <c r="G42" s="352"/>
      <c r="H42" s="352"/>
      <c r="I42" s="352"/>
      <c r="J42" s="352"/>
      <c r="K42" s="352"/>
      <c r="L42" s="352"/>
      <c r="M42" s="352"/>
      <c r="N42" s="352"/>
      <c r="O42" s="352"/>
      <c r="P42" s="352"/>
      <c r="Q42" s="352"/>
      <c r="R42" s="352"/>
      <c r="S42" s="352"/>
      <c r="T42" s="352"/>
      <c r="U42" s="352"/>
      <c r="V42" s="352"/>
      <c r="W42" s="352"/>
      <c r="X42" s="353"/>
    </row>
    <row r="43" spans="2:24" ht="12.75" hidden="1" customHeight="1" x14ac:dyDescent="0.25">
      <c r="B43" s="348"/>
      <c r="C43" s="349"/>
      <c r="D43" s="351"/>
      <c r="E43" s="352"/>
      <c r="F43" s="352"/>
      <c r="G43" s="352"/>
      <c r="H43" s="352"/>
      <c r="I43" s="352"/>
      <c r="J43" s="352"/>
      <c r="K43" s="352"/>
      <c r="L43" s="352"/>
      <c r="M43" s="352"/>
      <c r="N43" s="352"/>
      <c r="O43" s="352"/>
      <c r="P43" s="352"/>
      <c r="Q43" s="352"/>
      <c r="R43" s="352"/>
      <c r="S43" s="352"/>
      <c r="T43" s="352"/>
      <c r="U43" s="352"/>
      <c r="V43" s="352"/>
      <c r="W43" s="352"/>
      <c r="X43" s="353"/>
    </row>
    <row r="44" spans="2:24" ht="13.5" customHeight="1" x14ac:dyDescent="0.25">
      <c r="B44" s="348"/>
      <c r="C44" s="349"/>
      <c r="D44" s="351"/>
      <c r="E44" s="352"/>
      <c r="F44" s="352"/>
      <c r="G44" s="352"/>
      <c r="H44" s="352"/>
      <c r="I44" s="352"/>
      <c r="J44" s="352"/>
      <c r="K44" s="352"/>
      <c r="L44" s="352"/>
      <c r="M44" s="352"/>
      <c r="N44" s="352"/>
      <c r="O44" s="352"/>
      <c r="P44" s="352"/>
      <c r="Q44" s="352"/>
      <c r="R44" s="352"/>
      <c r="S44" s="352"/>
      <c r="T44" s="352"/>
      <c r="U44" s="352"/>
      <c r="V44" s="352"/>
      <c r="W44" s="352"/>
      <c r="X44" s="353"/>
    </row>
    <row r="45" spans="2:24" ht="13.5" customHeight="1" x14ac:dyDescent="0.25">
      <c r="B45" s="354" t="s">
        <v>182</v>
      </c>
      <c r="C45" s="355"/>
      <c r="D45" s="494">
        <f t="shared" ref="D45:W45" si="1">SUMPRODUCT($D$20:$W$20/$D$22:$W$22*($D$6:$W$6&lt;=D$6)*(D$6-$D$6:$W$6&lt;$D$22:$W$22))</f>
        <v>0</v>
      </c>
      <c r="E45" s="494">
        <f t="shared" si="1"/>
        <v>1046827056.1983473</v>
      </c>
      <c r="F45" s="494">
        <f t="shared" si="1"/>
        <v>2093654112.3966947</v>
      </c>
      <c r="G45" s="494">
        <f t="shared" si="1"/>
        <v>3140481168.5950422</v>
      </c>
      <c r="H45" s="494">
        <f t="shared" si="1"/>
        <v>4187308224.7933893</v>
      </c>
      <c r="I45" s="494">
        <f t="shared" si="1"/>
        <v>5234135280.9917364</v>
      </c>
      <c r="J45" s="494">
        <f t="shared" si="1"/>
        <v>5234135280.9917364</v>
      </c>
      <c r="K45" s="494">
        <f t="shared" si="1"/>
        <v>5234135280.9917364</v>
      </c>
      <c r="L45" s="494">
        <f t="shared" si="1"/>
        <v>5234135280.9917364</v>
      </c>
      <c r="M45" s="494">
        <f t="shared" si="1"/>
        <v>5234135280.9917364</v>
      </c>
      <c r="N45" s="494">
        <f t="shared" si="1"/>
        <v>5234135280.9917364</v>
      </c>
      <c r="O45" s="494">
        <f t="shared" si="1"/>
        <v>5234135280.9917364</v>
      </c>
      <c r="P45" s="494">
        <f t="shared" si="1"/>
        <v>5234135280.9917364</v>
      </c>
      <c r="Q45" s="494">
        <f t="shared" si="1"/>
        <v>5234135280.9917364</v>
      </c>
      <c r="R45" s="494">
        <f t="shared" si="1"/>
        <v>5234135280.9917364</v>
      </c>
      <c r="S45" s="494">
        <f t="shared" si="1"/>
        <v>5234135280.9917364</v>
      </c>
      <c r="T45" s="494">
        <f t="shared" si="1"/>
        <v>5495842045.0413237</v>
      </c>
      <c r="U45" s="494">
        <f t="shared" si="1"/>
        <v>6193726749.1735554</v>
      </c>
      <c r="V45" s="494">
        <f t="shared" si="1"/>
        <v>7763967333.4710751</v>
      </c>
      <c r="W45" s="494">
        <f t="shared" si="1"/>
        <v>11951275558.264465</v>
      </c>
      <c r="X45" s="356">
        <f>SUM(D45:W45)</f>
        <v>99448570338.843002</v>
      </c>
    </row>
    <row r="46" spans="2:24" ht="12.75" customHeight="1" x14ac:dyDescent="0.25">
      <c r="B46" s="348"/>
      <c r="C46" s="349"/>
      <c r="D46" s="351"/>
      <c r="E46" s="352"/>
      <c r="F46" s="352"/>
      <c r="G46" s="352"/>
      <c r="H46" s="352"/>
      <c r="I46" s="352"/>
      <c r="J46" s="352"/>
      <c r="K46" s="352"/>
      <c r="L46" s="352"/>
      <c r="M46" s="352"/>
      <c r="N46" s="352"/>
      <c r="O46" s="352"/>
      <c r="P46" s="352"/>
      <c r="Q46" s="352"/>
      <c r="R46" s="352"/>
      <c r="S46" s="352"/>
      <c r="T46" s="352"/>
      <c r="U46" s="352"/>
      <c r="V46" s="352"/>
      <c r="W46" s="352"/>
      <c r="X46" s="353"/>
    </row>
    <row r="47" spans="2:24" ht="13.5" customHeight="1" x14ac:dyDescent="0.25">
      <c r="B47" s="348"/>
      <c r="C47" s="349"/>
      <c r="D47" s="351"/>
      <c r="E47" s="352"/>
      <c r="F47" s="352"/>
      <c r="G47" s="352"/>
      <c r="H47" s="352"/>
      <c r="I47" s="352"/>
      <c r="J47" s="352"/>
      <c r="K47" s="352"/>
      <c r="L47" s="352"/>
      <c r="M47" s="352"/>
      <c r="N47" s="352"/>
      <c r="O47" s="352"/>
      <c r="P47" s="352"/>
      <c r="Q47" s="352"/>
      <c r="R47" s="352"/>
      <c r="S47" s="352"/>
      <c r="T47" s="352"/>
      <c r="U47" s="352"/>
      <c r="V47" s="352"/>
      <c r="W47" s="352"/>
      <c r="X47" s="353"/>
    </row>
    <row r="48" spans="2:24" ht="13.5" customHeight="1" x14ac:dyDescent="0.25">
      <c r="B48" s="357" t="s">
        <v>183</v>
      </c>
      <c r="C48" s="355"/>
      <c r="D48" s="358">
        <f t="shared" ref="D48:W48" si="2">+D18+D45</f>
        <v>3268170247.9338846</v>
      </c>
      <c r="E48" s="358">
        <f t="shared" si="2"/>
        <v>4314997304.1322317</v>
      </c>
      <c r="F48" s="358">
        <f t="shared" si="2"/>
        <v>7013064029.7520676</v>
      </c>
      <c r="G48" s="358">
        <f t="shared" si="2"/>
        <v>10811957201.652893</v>
      </c>
      <c r="H48" s="358">
        <f t="shared" si="2"/>
        <v>13081924753.719009</v>
      </c>
      <c r="I48" s="358">
        <f t="shared" si="2"/>
        <v>12817606355.371902</v>
      </c>
      <c r="J48" s="358">
        <f t="shared" si="2"/>
        <v>15753143545.454548</v>
      </c>
      <c r="K48" s="358">
        <f t="shared" si="2"/>
        <v>17037441066.115704</v>
      </c>
      <c r="L48" s="358">
        <f t="shared" si="2"/>
        <v>16242399743.801651</v>
      </c>
      <c r="M48" s="358">
        <f t="shared" si="2"/>
        <v>15019259247.933884</v>
      </c>
      <c r="N48" s="358">
        <f t="shared" si="2"/>
        <v>13062234454.545456</v>
      </c>
      <c r="O48" s="358">
        <f t="shared" si="2"/>
        <v>10126697264.462811</v>
      </c>
      <c r="P48" s="358">
        <f t="shared" si="2"/>
        <v>7191160074.3801661</v>
      </c>
      <c r="Q48" s="358">
        <f t="shared" si="2"/>
        <v>5234135280.9917364</v>
      </c>
      <c r="R48" s="358">
        <f t="shared" si="2"/>
        <v>5234135280.9917364</v>
      </c>
      <c r="S48" s="358">
        <f t="shared" si="2"/>
        <v>5234135280.9917364</v>
      </c>
      <c r="T48" s="358">
        <f t="shared" si="2"/>
        <v>5495842045.0413237</v>
      </c>
      <c r="U48" s="358">
        <f t="shared" si="2"/>
        <v>6193726749.1735554</v>
      </c>
      <c r="V48" s="358">
        <f t="shared" si="2"/>
        <v>7763967333.4710751</v>
      </c>
      <c r="W48" s="358">
        <f t="shared" si="2"/>
        <v>11951275558.264465</v>
      </c>
      <c r="X48" s="359">
        <f>SUM(D48:W48)</f>
        <v>192847272818.18179</v>
      </c>
    </row>
    <row r="49" spans="2:24" ht="13.5" customHeight="1" x14ac:dyDescent="0.25">
      <c r="B49" s="348"/>
      <c r="C49" s="349"/>
      <c r="D49" s="351"/>
      <c r="E49" s="352"/>
      <c r="F49" s="352"/>
      <c r="G49" s="352"/>
      <c r="H49" s="352"/>
      <c r="I49" s="352"/>
      <c r="J49" s="352"/>
      <c r="K49" s="352"/>
      <c r="L49" s="352"/>
      <c r="M49" s="352"/>
      <c r="N49" s="352"/>
      <c r="O49" s="352"/>
      <c r="P49" s="352"/>
      <c r="Q49" s="352"/>
      <c r="R49" s="352"/>
      <c r="S49" s="352"/>
      <c r="T49" s="352"/>
      <c r="U49" s="352"/>
      <c r="V49" s="352"/>
      <c r="W49" s="352"/>
      <c r="X49" s="353"/>
    </row>
    <row r="50" spans="2:24" ht="13.5" customHeight="1" x14ac:dyDescent="0.25">
      <c r="B50" s="354" t="s">
        <v>184</v>
      </c>
      <c r="C50" s="355"/>
      <c r="D50" s="360">
        <f t="shared" ref="D50:W50" si="3">D48+C50</f>
        <v>3268170247.9338846</v>
      </c>
      <c r="E50" s="360">
        <f t="shared" si="3"/>
        <v>7583167552.0661163</v>
      </c>
      <c r="F50" s="360">
        <f t="shared" si="3"/>
        <v>14596231581.818184</v>
      </c>
      <c r="G50" s="360">
        <f t="shared" si="3"/>
        <v>25408188783.471077</v>
      </c>
      <c r="H50" s="360">
        <f t="shared" si="3"/>
        <v>38490113537.190086</v>
      </c>
      <c r="I50" s="360">
        <f t="shared" si="3"/>
        <v>51307719892.561989</v>
      </c>
      <c r="J50" s="360">
        <f t="shared" si="3"/>
        <v>67060863438.016541</v>
      </c>
      <c r="K50" s="360">
        <f t="shared" si="3"/>
        <v>84098304504.132248</v>
      </c>
      <c r="L50" s="360">
        <f t="shared" si="3"/>
        <v>100340704247.9339</v>
      </c>
      <c r="M50" s="360">
        <f t="shared" si="3"/>
        <v>115359963495.86778</v>
      </c>
      <c r="N50" s="360">
        <f t="shared" si="3"/>
        <v>128422197950.41324</v>
      </c>
      <c r="O50" s="360">
        <f t="shared" si="3"/>
        <v>138548895214.87604</v>
      </c>
      <c r="P50" s="360">
        <f t="shared" si="3"/>
        <v>145740055289.2562</v>
      </c>
      <c r="Q50" s="360">
        <f t="shared" si="3"/>
        <v>150974190570.24792</v>
      </c>
      <c r="R50" s="360">
        <f t="shared" si="3"/>
        <v>156208325851.23965</v>
      </c>
      <c r="S50" s="361">
        <f t="shared" si="3"/>
        <v>161442461132.23138</v>
      </c>
      <c r="T50" s="361">
        <f t="shared" si="3"/>
        <v>166938303177.27271</v>
      </c>
      <c r="U50" s="361">
        <f t="shared" si="3"/>
        <v>173132029926.44626</v>
      </c>
      <c r="V50" s="361">
        <f t="shared" si="3"/>
        <v>180895997259.91733</v>
      </c>
      <c r="W50" s="361">
        <f t="shared" si="3"/>
        <v>192847272818.18179</v>
      </c>
      <c r="X50" s="356"/>
    </row>
    <row r="52" spans="2:24" ht="13.5" customHeight="1" x14ac:dyDescent="0.25">
      <c r="X52" s="362"/>
    </row>
    <row r="53" spans="2:24" ht="13.5" customHeight="1" x14ac:dyDescent="0.3">
      <c r="B53" s="533" t="s">
        <v>185</v>
      </c>
      <c r="C53" s="512"/>
      <c r="D53" s="512"/>
      <c r="E53" s="512"/>
      <c r="F53" s="512"/>
      <c r="G53" s="512"/>
      <c r="H53" s="512"/>
      <c r="I53" s="512"/>
      <c r="J53" s="512"/>
      <c r="K53" s="512"/>
      <c r="L53" s="512"/>
      <c r="M53" s="512"/>
      <c r="N53" s="512"/>
      <c r="O53" s="512"/>
      <c r="P53" s="512"/>
      <c r="Q53" s="512"/>
      <c r="R53" s="512"/>
      <c r="S53" s="512"/>
      <c r="T53" s="512"/>
      <c r="U53" s="512"/>
      <c r="V53" s="512"/>
      <c r="W53" s="512"/>
      <c r="X53" s="513"/>
    </row>
    <row r="54" spans="2:24" ht="13.5" customHeight="1" x14ac:dyDescent="0.25">
      <c r="B54" s="7"/>
      <c r="C54" s="7"/>
      <c r="D54" s="7"/>
      <c r="E54" s="7"/>
      <c r="F54" s="7"/>
      <c r="G54" s="7"/>
      <c r="H54" s="7"/>
      <c r="I54" s="7"/>
      <c r="J54" s="7"/>
      <c r="K54" s="7"/>
      <c r="L54" s="7"/>
      <c r="M54" s="7"/>
      <c r="N54" s="7"/>
      <c r="O54" s="7"/>
      <c r="P54" s="7"/>
      <c r="Q54" s="7"/>
      <c r="R54" s="7"/>
      <c r="S54" s="7"/>
      <c r="T54" s="7"/>
      <c r="U54" s="7"/>
      <c r="V54" s="7"/>
      <c r="W54" s="7"/>
      <c r="X54" s="7"/>
    </row>
    <row r="55" spans="2:24" ht="13.5" customHeight="1" x14ac:dyDescent="0.25">
      <c r="B55" s="340" t="s">
        <v>155</v>
      </c>
      <c r="C55" s="341"/>
      <c r="D55" s="342" t="s">
        <v>156</v>
      </c>
      <c r="E55" s="342" t="s">
        <v>157</v>
      </c>
      <c r="F55" s="342" t="s">
        <v>158</v>
      </c>
      <c r="G55" s="342" t="s">
        <v>159</v>
      </c>
      <c r="H55" s="342" t="s">
        <v>160</v>
      </c>
      <c r="I55" s="342" t="s">
        <v>161</v>
      </c>
      <c r="J55" s="342" t="s">
        <v>162</v>
      </c>
      <c r="K55" s="342" t="s">
        <v>163</v>
      </c>
      <c r="L55" s="342" t="s">
        <v>164</v>
      </c>
      <c r="M55" s="342" t="s">
        <v>165</v>
      </c>
      <c r="N55" s="342" t="s">
        <v>166</v>
      </c>
      <c r="O55" s="342" t="s">
        <v>167</v>
      </c>
      <c r="P55" s="342" t="s">
        <v>168</v>
      </c>
      <c r="Q55" s="342" t="s">
        <v>169</v>
      </c>
      <c r="R55" s="342" t="s">
        <v>170</v>
      </c>
      <c r="S55" s="343" t="s">
        <v>171</v>
      </c>
      <c r="T55" s="343" t="s">
        <v>172</v>
      </c>
      <c r="U55" s="343" t="s">
        <v>173</v>
      </c>
      <c r="V55" s="343" t="s">
        <v>174</v>
      </c>
      <c r="W55" s="343" t="s">
        <v>175</v>
      </c>
      <c r="X55" s="344" t="s">
        <v>106</v>
      </c>
    </row>
    <row r="56" spans="2:24" ht="12.75" customHeight="1" x14ac:dyDescent="0.25">
      <c r="B56" s="345"/>
      <c r="C56" s="346"/>
      <c r="D56" s="112"/>
      <c r="E56" s="347"/>
      <c r="F56" s="347"/>
      <c r="G56" s="347"/>
      <c r="H56" s="347"/>
      <c r="I56" s="347"/>
      <c r="J56" s="347"/>
      <c r="K56" s="347"/>
      <c r="L56" s="347"/>
      <c r="M56" s="347"/>
      <c r="N56" s="347"/>
      <c r="O56" s="347"/>
      <c r="P56" s="347"/>
      <c r="Q56" s="347"/>
      <c r="R56" s="347"/>
      <c r="S56" s="347"/>
      <c r="T56" s="347"/>
      <c r="U56" s="347"/>
      <c r="V56" s="347"/>
      <c r="W56" s="347"/>
      <c r="X56" s="346"/>
    </row>
    <row r="57" spans="2:24" ht="12.75" customHeight="1" x14ac:dyDescent="0.25">
      <c r="B57" s="348" t="s">
        <v>177</v>
      </c>
      <c r="C57" s="349"/>
      <c r="D57" s="490">
        <f t="shared" ref="D57:W57" si="4">+D7</f>
        <v>16340851239.669422</v>
      </c>
      <c r="E57" s="490">
        <f t="shared" si="4"/>
        <v>0</v>
      </c>
      <c r="F57" s="490">
        <f t="shared" si="4"/>
        <v>8256198347.1074381</v>
      </c>
      <c r="G57" s="490">
        <f t="shared" si="4"/>
        <v>13760330578.512398</v>
      </c>
      <c r="H57" s="490">
        <f t="shared" si="4"/>
        <v>6115702479.3388433</v>
      </c>
      <c r="I57" s="490">
        <f t="shared" si="4"/>
        <v>9785123966.9421482</v>
      </c>
      <c r="J57" s="490">
        <f t="shared" si="4"/>
        <v>14677685950.413223</v>
      </c>
      <c r="K57" s="491">
        <f t="shared" si="4"/>
        <v>14677685950.413223</v>
      </c>
      <c r="L57" s="491">
        <f t="shared" si="4"/>
        <v>9785123966.9421482</v>
      </c>
      <c r="M57" s="491">
        <f t="shared" si="4"/>
        <v>0</v>
      </c>
      <c r="N57" s="491">
        <f t="shared" si="4"/>
        <v>0</v>
      </c>
      <c r="O57" s="491">
        <f t="shared" si="4"/>
        <v>0</v>
      </c>
      <c r="P57" s="491">
        <f t="shared" si="4"/>
        <v>0</v>
      </c>
      <c r="Q57" s="491">
        <f t="shared" si="4"/>
        <v>0</v>
      </c>
      <c r="R57" s="491">
        <f t="shared" si="4"/>
        <v>0</v>
      </c>
      <c r="S57" s="491">
        <f t="shared" si="4"/>
        <v>0</v>
      </c>
      <c r="T57" s="491">
        <f t="shared" si="4"/>
        <v>0</v>
      </c>
      <c r="U57" s="491">
        <f t="shared" si="4"/>
        <v>0</v>
      </c>
      <c r="V57" s="491">
        <f t="shared" si="4"/>
        <v>0</v>
      </c>
      <c r="W57" s="491">
        <f t="shared" si="4"/>
        <v>0</v>
      </c>
      <c r="X57" s="350">
        <f>SUM(D57:W57)</f>
        <v>93398702479.338852</v>
      </c>
    </row>
    <row r="58" spans="2:24" ht="12.75" customHeight="1" x14ac:dyDescent="0.25">
      <c r="B58" s="348"/>
      <c r="C58" s="349"/>
      <c r="D58" s="351"/>
      <c r="E58" s="352"/>
      <c r="F58" s="352"/>
      <c r="G58" s="352"/>
      <c r="H58" s="352"/>
      <c r="I58" s="352"/>
      <c r="J58" s="352"/>
      <c r="K58" s="352"/>
      <c r="L58" s="352"/>
      <c r="M58" s="352"/>
      <c r="N58" s="352"/>
      <c r="O58" s="352"/>
      <c r="P58" s="352"/>
      <c r="Q58" s="352"/>
      <c r="R58" s="352"/>
      <c r="S58" s="352"/>
      <c r="T58" s="352"/>
      <c r="U58" s="352"/>
      <c r="V58" s="352"/>
      <c r="W58" s="352"/>
      <c r="X58" s="353"/>
    </row>
    <row r="59" spans="2:24" ht="12.75" customHeight="1" x14ac:dyDescent="0.25">
      <c r="B59" s="348" t="s">
        <v>178</v>
      </c>
      <c r="C59" s="349"/>
      <c r="D59" s="492">
        <f>MAX(1,FLUJO!$C$118-D$6+1)</f>
        <v>20</v>
      </c>
      <c r="E59" s="492">
        <f>MAX(1,FLUJO!$C$118-E$6+1)</f>
        <v>19</v>
      </c>
      <c r="F59" s="492">
        <f>MAX(1,FLUJO!$C$118-F$6+1)</f>
        <v>18</v>
      </c>
      <c r="G59" s="492">
        <f>MAX(1,FLUJO!$C$118-G$6+1)</f>
        <v>17</v>
      </c>
      <c r="H59" s="492">
        <f>MAX(1,FLUJO!$C$118-H$6+1)</f>
        <v>16</v>
      </c>
      <c r="I59" s="492">
        <f>MAX(1,FLUJO!$C$118-I$6+1)</f>
        <v>15</v>
      </c>
      <c r="J59" s="492">
        <f>MAX(1,FLUJO!$C$118-J$6+1)</f>
        <v>14</v>
      </c>
      <c r="K59" s="492">
        <f>MAX(1,FLUJO!$C$118-K$6+1)</f>
        <v>13</v>
      </c>
      <c r="L59" s="492">
        <f>MAX(1,FLUJO!$C$118-L$6+1)</f>
        <v>12</v>
      </c>
      <c r="M59" s="492">
        <f>MAX(1,FLUJO!$C$118-M$6+1)</f>
        <v>11</v>
      </c>
      <c r="N59" s="492">
        <f>MAX(1,FLUJO!$C$118-N$6+1)</f>
        <v>10</v>
      </c>
      <c r="O59" s="492">
        <f>MAX(1,FLUJO!$C$118-O$6+1)</f>
        <v>9</v>
      </c>
      <c r="P59" s="492">
        <f>MAX(1,FLUJO!$C$118-P$6+1)</f>
        <v>8</v>
      </c>
      <c r="Q59" s="492">
        <f>MAX(1,FLUJO!$C$118-Q$6+1)</f>
        <v>7</v>
      </c>
      <c r="R59" s="492">
        <f>MAX(1,FLUJO!$C$118-R$6+1)</f>
        <v>6</v>
      </c>
      <c r="S59" s="492">
        <f>MAX(1,FLUJO!$C$118-S$6+1)</f>
        <v>5</v>
      </c>
      <c r="T59" s="492">
        <f>MAX(1,FLUJO!$C$118-T$6+1)</f>
        <v>4</v>
      </c>
      <c r="U59" s="492">
        <f>MAX(1,FLUJO!$C$118-U$6+1)</f>
        <v>3</v>
      </c>
      <c r="V59" s="492">
        <f>MAX(1,FLUJO!$C$118-V$6+1)</f>
        <v>2</v>
      </c>
      <c r="W59" s="492">
        <f>MAX(1,FLUJO!$C$118-W$6+1)</f>
        <v>1</v>
      </c>
      <c r="X59" s="353"/>
    </row>
    <row r="60" spans="2:24" ht="12.75" hidden="1" customHeight="1" x14ac:dyDescent="0.25">
      <c r="B60" s="348"/>
      <c r="C60" s="349"/>
      <c r="D60" s="351"/>
      <c r="E60" s="352"/>
      <c r="F60" s="352"/>
      <c r="G60" s="352"/>
      <c r="H60" s="352"/>
      <c r="I60" s="352"/>
      <c r="J60" s="352"/>
      <c r="K60" s="352"/>
      <c r="L60" s="352"/>
      <c r="M60" s="352"/>
      <c r="N60" s="352"/>
      <c r="O60" s="352"/>
      <c r="P60" s="352"/>
      <c r="Q60" s="352"/>
      <c r="R60" s="352"/>
      <c r="S60" s="352"/>
      <c r="T60" s="352"/>
      <c r="U60" s="352"/>
      <c r="V60" s="352"/>
      <c r="W60" s="352"/>
      <c r="X60" s="353"/>
    </row>
    <row r="61" spans="2:24" ht="12.75" hidden="1" customHeight="1" x14ac:dyDescent="0.25">
      <c r="B61" s="493" t="s">
        <v>179</v>
      </c>
      <c r="C61" s="349"/>
      <c r="D61" s="351"/>
      <c r="E61" s="352"/>
      <c r="F61" s="352"/>
      <c r="G61" s="352"/>
      <c r="H61" s="352"/>
      <c r="I61" s="352"/>
      <c r="J61" s="352"/>
      <c r="K61" s="352"/>
      <c r="L61" s="352"/>
      <c r="M61" s="352"/>
      <c r="N61" s="352"/>
      <c r="O61" s="352"/>
      <c r="P61" s="352"/>
      <c r="Q61" s="352"/>
      <c r="R61" s="352"/>
      <c r="S61" s="352"/>
      <c r="T61" s="352"/>
      <c r="U61" s="352"/>
      <c r="V61" s="352"/>
      <c r="W61" s="352"/>
      <c r="X61" s="350"/>
    </row>
    <row r="62" spans="2:24" ht="12.75" hidden="1" customHeight="1" x14ac:dyDescent="0.25">
      <c r="B62" s="348"/>
      <c r="C62" s="349"/>
      <c r="D62" s="351"/>
      <c r="E62" s="352"/>
      <c r="F62" s="352"/>
      <c r="G62" s="352"/>
      <c r="H62" s="352"/>
      <c r="I62" s="352"/>
      <c r="J62" s="352"/>
      <c r="K62" s="352"/>
      <c r="L62" s="352"/>
      <c r="M62" s="352"/>
      <c r="N62" s="352"/>
      <c r="O62" s="352"/>
      <c r="P62" s="352"/>
      <c r="Q62" s="352"/>
      <c r="R62" s="352"/>
      <c r="S62" s="352"/>
      <c r="T62" s="352"/>
      <c r="U62" s="352"/>
      <c r="V62" s="352"/>
      <c r="W62" s="352"/>
      <c r="X62" s="350"/>
    </row>
    <row r="63" spans="2:24" ht="12.75" hidden="1" customHeight="1" x14ac:dyDescent="0.25">
      <c r="B63" s="348"/>
      <c r="C63" s="349"/>
      <c r="D63" s="351"/>
      <c r="E63" s="352"/>
      <c r="F63" s="352"/>
      <c r="G63" s="352"/>
      <c r="H63" s="352"/>
      <c r="I63" s="352"/>
      <c r="J63" s="352"/>
      <c r="K63" s="352"/>
      <c r="L63" s="352"/>
      <c r="M63" s="352"/>
      <c r="N63" s="352"/>
      <c r="O63" s="352"/>
      <c r="P63" s="352"/>
      <c r="Q63" s="352"/>
      <c r="R63" s="352"/>
      <c r="S63" s="352"/>
      <c r="T63" s="352"/>
      <c r="U63" s="352"/>
      <c r="V63" s="352"/>
      <c r="W63" s="352"/>
      <c r="X63" s="350"/>
    </row>
    <row r="64" spans="2:24" ht="12.75" hidden="1" customHeight="1" x14ac:dyDescent="0.25">
      <c r="B64" s="348"/>
      <c r="C64" s="349"/>
      <c r="D64" s="351"/>
      <c r="E64" s="352"/>
      <c r="F64" s="352"/>
      <c r="G64" s="352"/>
      <c r="H64" s="352"/>
      <c r="I64" s="352"/>
      <c r="J64" s="352"/>
      <c r="K64" s="352"/>
      <c r="L64" s="352"/>
      <c r="M64" s="352"/>
      <c r="N64" s="352"/>
      <c r="O64" s="352"/>
      <c r="P64" s="352"/>
      <c r="Q64" s="352"/>
      <c r="R64" s="352"/>
      <c r="S64" s="352"/>
      <c r="T64" s="352"/>
      <c r="U64" s="352"/>
      <c r="V64" s="352"/>
      <c r="W64" s="352"/>
      <c r="X64" s="350"/>
    </row>
    <row r="65" spans="2:24" ht="12.75" hidden="1" customHeight="1" x14ac:dyDescent="0.25">
      <c r="B65" s="348"/>
      <c r="C65" s="349"/>
      <c r="D65" s="351"/>
      <c r="E65" s="352"/>
      <c r="F65" s="352"/>
      <c r="G65" s="352"/>
      <c r="H65" s="352"/>
      <c r="I65" s="352"/>
      <c r="J65" s="352"/>
      <c r="K65" s="352"/>
      <c r="L65" s="352"/>
      <c r="M65" s="352"/>
      <c r="N65" s="352"/>
      <c r="O65" s="352"/>
      <c r="P65" s="352"/>
      <c r="Q65" s="352"/>
      <c r="R65" s="352"/>
      <c r="S65" s="352"/>
      <c r="T65" s="352"/>
      <c r="U65" s="352"/>
      <c r="V65" s="352"/>
      <c r="W65" s="352"/>
      <c r="X65" s="350"/>
    </row>
    <row r="66" spans="2:24" ht="12.75" hidden="1" customHeight="1" x14ac:dyDescent="0.25">
      <c r="B66" s="348"/>
      <c r="C66" s="349"/>
      <c r="D66" s="351"/>
      <c r="E66" s="352"/>
      <c r="F66" s="352"/>
      <c r="G66" s="352"/>
      <c r="H66" s="352"/>
      <c r="I66" s="352"/>
      <c r="J66" s="352"/>
      <c r="K66" s="352"/>
      <c r="L66" s="352"/>
      <c r="M66" s="352"/>
      <c r="N66" s="352"/>
      <c r="O66" s="352"/>
      <c r="P66" s="352"/>
      <c r="Q66" s="352"/>
      <c r="R66" s="352"/>
      <c r="S66" s="352"/>
      <c r="T66" s="352"/>
      <c r="U66" s="352"/>
      <c r="V66" s="352"/>
      <c r="W66" s="352"/>
      <c r="X66" s="350"/>
    </row>
    <row r="67" spans="2:24" ht="13.5" customHeight="1" x14ac:dyDescent="0.25">
      <c r="B67" s="348"/>
      <c r="C67" s="349"/>
      <c r="D67" s="351"/>
      <c r="E67" s="352"/>
      <c r="F67" s="352"/>
      <c r="G67" s="352"/>
      <c r="H67" s="352"/>
      <c r="I67" s="352"/>
      <c r="J67" s="352"/>
      <c r="K67" s="352"/>
      <c r="L67" s="352"/>
      <c r="M67" s="352"/>
      <c r="N67" s="352"/>
      <c r="O67" s="352"/>
      <c r="P67" s="352"/>
      <c r="Q67" s="352"/>
      <c r="R67" s="352"/>
      <c r="S67" s="352"/>
      <c r="T67" s="352"/>
      <c r="U67" s="352"/>
      <c r="V67" s="352"/>
      <c r="W67" s="352"/>
      <c r="X67" s="350"/>
    </row>
    <row r="68" spans="2:24" ht="13.5" customHeight="1" x14ac:dyDescent="0.25">
      <c r="B68" s="354" t="s">
        <v>180</v>
      </c>
      <c r="C68" s="355"/>
      <c r="D68" s="494">
        <f t="shared" ref="D68:W68" si="5">SUMPRODUCT($D$57:$W$57/$D$59:$W$59*($D$6:$W$6&lt;=D$6)*(D$6-$D$6:$W$6&lt;$D$59:$W$59))</f>
        <v>817042561.98347116</v>
      </c>
      <c r="E68" s="495">
        <f t="shared" si="5"/>
        <v>817042561.98347116</v>
      </c>
      <c r="F68" s="495">
        <f t="shared" si="5"/>
        <v>1275720247.9338844</v>
      </c>
      <c r="G68" s="495">
        <f t="shared" si="5"/>
        <v>2085151458.4346137</v>
      </c>
      <c r="H68" s="495">
        <f t="shared" si="5"/>
        <v>2467382863.3932915</v>
      </c>
      <c r="I68" s="495">
        <f t="shared" si="5"/>
        <v>3119724461.1894345</v>
      </c>
      <c r="J68" s="495">
        <f t="shared" si="5"/>
        <v>4168130600.5046649</v>
      </c>
      <c r="K68" s="495">
        <f t="shared" si="5"/>
        <v>5297183365.9210663</v>
      </c>
      <c r="L68" s="495">
        <f t="shared" si="5"/>
        <v>6112610363.1662455</v>
      </c>
      <c r="M68" s="495">
        <f t="shared" si="5"/>
        <v>6112610363.1662455</v>
      </c>
      <c r="N68" s="495">
        <f t="shared" si="5"/>
        <v>6112610363.1662455</v>
      </c>
      <c r="O68" s="495">
        <f t="shared" si="5"/>
        <v>6112610363.1662455</v>
      </c>
      <c r="P68" s="495">
        <f t="shared" si="5"/>
        <v>6112610363.1662455</v>
      </c>
      <c r="Q68" s="495">
        <f t="shared" si="5"/>
        <v>6112610363.1662455</v>
      </c>
      <c r="R68" s="495">
        <f t="shared" si="5"/>
        <v>6112610363.1662455</v>
      </c>
      <c r="S68" s="495">
        <f t="shared" si="5"/>
        <v>6112610363.1662455</v>
      </c>
      <c r="T68" s="495">
        <f t="shared" si="5"/>
        <v>6112610363.1662455</v>
      </c>
      <c r="U68" s="495">
        <f t="shared" si="5"/>
        <v>6112610363.1662455</v>
      </c>
      <c r="V68" s="495">
        <f t="shared" si="5"/>
        <v>6112610363.1662455</v>
      </c>
      <c r="W68" s="495">
        <f t="shared" si="5"/>
        <v>6112610363.1662455</v>
      </c>
      <c r="X68" s="363">
        <f>SUM(D68:W68)</f>
        <v>93398702479.338837</v>
      </c>
    </row>
    <row r="69" spans="2:24" ht="12.75" customHeight="1" x14ac:dyDescent="0.25">
      <c r="B69" s="348"/>
      <c r="C69" s="349"/>
      <c r="D69" s="351"/>
      <c r="E69" s="352"/>
      <c r="F69" s="352"/>
      <c r="G69" s="352"/>
      <c r="H69" s="352"/>
      <c r="I69" s="352"/>
      <c r="J69" s="352"/>
      <c r="K69" s="352"/>
      <c r="L69" s="352"/>
      <c r="M69" s="352"/>
      <c r="N69" s="352"/>
      <c r="O69" s="352"/>
      <c r="P69" s="352"/>
      <c r="Q69" s="352"/>
      <c r="R69" s="352"/>
      <c r="S69" s="352"/>
      <c r="T69" s="352"/>
      <c r="U69" s="352"/>
      <c r="V69" s="352"/>
      <c r="W69" s="352"/>
      <c r="X69" s="353"/>
    </row>
    <row r="70" spans="2:24" ht="12.75" customHeight="1" x14ac:dyDescent="0.25">
      <c r="B70" s="348" t="s">
        <v>181</v>
      </c>
      <c r="C70" s="349"/>
      <c r="D70" s="490">
        <f t="shared" ref="D70:W70" si="6">+D20</f>
        <v>0</v>
      </c>
      <c r="E70" s="490">
        <f t="shared" si="6"/>
        <v>5234135280.9917364</v>
      </c>
      <c r="F70" s="490">
        <f t="shared" si="6"/>
        <v>5234135280.9917364</v>
      </c>
      <c r="G70" s="490">
        <f t="shared" si="6"/>
        <v>5234135280.9917364</v>
      </c>
      <c r="H70" s="490">
        <f t="shared" si="6"/>
        <v>5234135280.9917364</v>
      </c>
      <c r="I70" s="490">
        <f t="shared" si="6"/>
        <v>5234135280.9917364</v>
      </c>
      <c r="J70" s="490">
        <f t="shared" si="6"/>
        <v>5234135280.9917364</v>
      </c>
      <c r="K70" s="490">
        <f t="shared" si="6"/>
        <v>5234135280.9917364</v>
      </c>
      <c r="L70" s="490">
        <f t="shared" si="6"/>
        <v>5234135280.9917364</v>
      </c>
      <c r="M70" s="490">
        <f t="shared" si="6"/>
        <v>5234135280.9917364</v>
      </c>
      <c r="N70" s="490">
        <f t="shared" si="6"/>
        <v>5234135280.9917364</v>
      </c>
      <c r="O70" s="490">
        <f t="shared" si="6"/>
        <v>5234135280.9917364</v>
      </c>
      <c r="P70" s="490">
        <f t="shared" si="6"/>
        <v>5234135280.9917364</v>
      </c>
      <c r="Q70" s="490">
        <f t="shared" si="6"/>
        <v>5234135280.9917364</v>
      </c>
      <c r="R70" s="490">
        <f t="shared" si="6"/>
        <v>5234135280.9917364</v>
      </c>
      <c r="S70" s="490">
        <f t="shared" si="6"/>
        <v>5234135280.9917364</v>
      </c>
      <c r="T70" s="490">
        <f t="shared" si="6"/>
        <v>5234135280.9917364</v>
      </c>
      <c r="U70" s="490">
        <f t="shared" si="6"/>
        <v>5234135280.9917364</v>
      </c>
      <c r="V70" s="490">
        <f t="shared" si="6"/>
        <v>5234135280.9917364</v>
      </c>
      <c r="W70" s="490">
        <f t="shared" si="6"/>
        <v>5234135280.9917364</v>
      </c>
      <c r="X70" s="350">
        <f>SUM(D70:W70)</f>
        <v>99448570338.842957</v>
      </c>
    </row>
    <row r="71" spans="2:24" ht="12.75" customHeight="1" x14ac:dyDescent="0.25">
      <c r="B71" s="348"/>
      <c r="C71" s="349"/>
      <c r="D71" s="351"/>
      <c r="E71" s="352"/>
      <c r="F71" s="352"/>
      <c r="G71" s="352"/>
      <c r="H71" s="352"/>
      <c r="I71" s="352"/>
      <c r="J71" s="352"/>
      <c r="K71" s="352"/>
      <c r="L71" s="352"/>
      <c r="M71" s="352"/>
      <c r="N71" s="352"/>
      <c r="O71" s="352"/>
      <c r="P71" s="352"/>
      <c r="Q71" s="352"/>
      <c r="R71" s="352"/>
      <c r="S71" s="352"/>
      <c r="T71" s="352"/>
      <c r="U71" s="352"/>
      <c r="V71" s="352"/>
      <c r="W71" s="352"/>
      <c r="X71" s="353"/>
    </row>
    <row r="72" spans="2:24" ht="12.75" customHeight="1" x14ac:dyDescent="0.25">
      <c r="B72" s="348" t="s">
        <v>178</v>
      </c>
      <c r="C72" s="349"/>
      <c r="D72" s="491">
        <f>MAX(1,MIN(CONTROL!$C$57,FLUJO!$C$118-D$6+1))</f>
        <v>5</v>
      </c>
      <c r="E72" s="491">
        <f>MAX(1,MIN(CONTROL!$C$57,FLUJO!$C$118-E$6+1))</f>
        <v>5</v>
      </c>
      <c r="F72" s="491">
        <f>MAX(1,MIN(CONTROL!$C$57,FLUJO!$C$118-F$6+1))</f>
        <v>5</v>
      </c>
      <c r="G72" s="491">
        <f>MAX(1,MIN(CONTROL!$C$57,FLUJO!$C$118-G$6+1))</f>
        <v>5</v>
      </c>
      <c r="H72" s="491">
        <f>MAX(1,MIN(CONTROL!$C$57,FLUJO!$C$118-H$6+1))</f>
        <v>5</v>
      </c>
      <c r="I72" s="491">
        <f>MAX(1,MIN(CONTROL!$C$57,FLUJO!$C$118-I$6+1))</f>
        <v>5</v>
      </c>
      <c r="J72" s="491">
        <f>MAX(1,MIN(CONTROL!$C$57,FLUJO!$C$118-J$6+1))</f>
        <v>5</v>
      </c>
      <c r="K72" s="491">
        <f>MAX(1,MIN(CONTROL!$C$57,FLUJO!$C$118-K$6+1))</f>
        <v>5</v>
      </c>
      <c r="L72" s="491">
        <f>MAX(1,MIN(CONTROL!$C$57,FLUJO!$C$118-L$6+1))</f>
        <v>5</v>
      </c>
      <c r="M72" s="491">
        <f>MAX(1,MIN(CONTROL!$C$57,FLUJO!$C$118-M$6+1))</f>
        <v>5</v>
      </c>
      <c r="N72" s="491">
        <f>MAX(1,MIN(CONTROL!$C$57,FLUJO!$C$118-N$6+1))</f>
        <v>5</v>
      </c>
      <c r="O72" s="491">
        <f>MAX(1,MIN(CONTROL!$C$57,FLUJO!$C$118-O$6+1))</f>
        <v>5</v>
      </c>
      <c r="P72" s="491">
        <f>MAX(1,MIN(CONTROL!$C$57,FLUJO!$C$118-P$6+1))</f>
        <v>5</v>
      </c>
      <c r="Q72" s="491">
        <f>MAX(1,MIN(CONTROL!$C$57,FLUJO!$C$118-Q$6+1))</f>
        <v>5</v>
      </c>
      <c r="R72" s="491">
        <f>MAX(1,MIN(CONTROL!$C$57,FLUJO!$C$118-R$6+1))</f>
        <v>5</v>
      </c>
      <c r="S72" s="491">
        <f>MAX(1,MIN(CONTROL!$C$57,FLUJO!$C$118-S$6+1))</f>
        <v>5</v>
      </c>
      <c r="T72" s="491">
        <f>MAX(1,MIN(CONTROL!$C$57,FLUJO!$C$118-T$6+1))</f>
        <v>4</v>
      </c>
      <c r="U72" s="491">
        <f>MAX(1,MIN(CONTROL!$C$57,FLUJO!$C$118-U$6+1))</f>
        <v>3</v>
      </c>
      <c r="V72" s="491">
        <f>MAX(1,MIN(CONTROL!$C$57,FLUJO!$C$118-V$6+1))</f>
        <v>2</v>
      </c>
      <c r="W72" s="491">
        <f>MAX(1,MIN(CONTROL!$C$57,FLUJO!$C$118-W$6+1))</f>
        <v>1</v>
      </c>
      <c r="X72" s="353"/>
    </row>
    <row r="73" spans="2:24" ht="12.75" hidden="1" customHeight="1" x14ac:dyDescent="0.25">
      <c r="B73" s="348"/>
      <c r="C73" s="349"/>
      <c r="D73" s="351"/>
      <c r="E73" s="352"/>
      <c r="F73" s="352"/>
      <c r="G73" s="352"/>
      <c r="H73" s="352"/>
      <c r="I73" s="352"/>
      <c r="J73" s="352"/>
      <c r="K73" s="352"/>
      <c r="L73" s="352"/>
      <c r="M73" s="352"/>
      <c r="N73" s="352"/>
      <c r="O73" s="352"/>
      <c r="P73" s="352"/>
      <c r="Q73" s="352"/>
      <c r="R73" s="352"/>
      <c r="S73" s="352"/>
      <c r="T73" s="352"/>
      <c r="U73" s="352"/>
      <c r="V73" s="352"/>
      <c r="W73" s="352"/>
      <c r="X73" s="353"/>
    </row>
    <row r="74" spans="2:24" ht="12.75" hidden="1" customHeight="1" x14ac:dyDescent="0.25">
      <c r="B74" s="493" t="s">
        <v>179</v>
      </c>
      <c r="C74" s="349"/>
      <c r="D74" s="351"/>
      <c r="E74" s="352"/>
      <c r="F74" s="352"/>
      <c r="G74" s="352"/>
      <c r="H74" s="352"/>
      <c r="I74" s="352"/>
      <c r="J74" s="352"/>
      <c r="K74" s="352"/>
      <c r="L74" s="352"/>
      <c r="M74" s="352"/>
      <c r="N74" s="352"/>
      <c r="O74" s="352"/>
      <c r="P74" s="352"/>
      <c r="Q74" s="352"/>
      <c r="R74" s="352"/>
      <c r="S74" s="352"/>
      <c r="T74" s="352"/>
      <c r="U74" s="352"/>
      <c r="V74" s="352"/>
      <c r="W74" s="352"/>
      <c r="X74" s="353"/>
    </row>
    <row r="75" spans="2:24" ht="12.75" hidden="1" customHeight="1" x14ac:dyDescent="0.25">
      <c r="B75" s="348"/>
      <c r="C75" s="349"/>
      <c r="D75" s="351"/>
      <c r="E75" s="352"/>
      <c r="F75" s="352"/>
      <c r="G75" s="352"/>
      <c r="H75" s="352"/>
      <c r="I75" s="352"/>
      <c r="J75" s="352"/>
      <c r="K75" s="352"/>
      <c r="L75" s="352"/>
      <c r="M75" s="352"/>
      <c r="N75" s="352"/>
      <c r="O75" s="352"/>
      <c r="P75" s="352"/>
      <c r="Q75" s="352"/>
      <c r="R75" s="352"/>
      <c r="S75" s="352"/>
      <c r="T75" s="352"/>
      <c r="U75" s="352"/>
      <c r="V75" s="352"/>
      <c r="W75" s="352"/>
      <c r="X75" s="353"/>
    </row>
    <row r="76" spans="2:24" ht="12.75" hidden="1" customHeight="1" x14ac:dyDescent="0.25">
      <c r="B76" s="348"/>
      <c r="C76" s="349"/>
      <c r="D76" s="351"/>
      <c r="E76" s="352"/>
      <c r="F76" s="352"/>
      <c r="G76" s="352"/>
      <c r="H76" s="352"/>
      <c r="I76" s="352"/>
      <c r="J76" s="352"/>
      <c r="K76" s="352"/>
      <c r="L76" s="352"/>
      <c r="M76" s="352"/>
      <c r="N76" s="352"/>
      <c r="O76" s="352"/>
      <c r="P76" s="352"/>
      <c r="Q76" s="352"/>
      <c r="R76" s="352"/>
      <c r="S76" s="352"/>
      <c r="T76" s="352"/>
      <c r="U76" s="352"/>
      <c r="V76" s="352"/>
      <c r="W76" s="352"/>
      <c r="X76" s="353"/>
    </row>
    <row r="77" spans="2:24" ht="12.75" hidden="1" customHeight="1" x14ac:dyDescent="0.25">
      <c r="B77" s="348"/>
      <c r="C77" s="349"/>
      <c r="D77" s="351"/>
      <c r="E77" s="352"/>
      <c r="F77" s="352"/>
      <c r="G77" s="352"/>
      <c r="H77" s="352"/>
      <c r="I77" s="352"/>
      <c r="J77" s="352"/>
      <c r="K77" s="352"/>
      <c r="L77" s="352"/>
      <c r="M77" s="352"/>
      <c r="N77" s="352"/>
      <c r="O77" s="352"/>
      <c r="P77" s="352"/>
      <c r="Q77" s="352"/>
      <c r="R77" s="352"/>
      <c r="S77" s="352"/>
      <c r="T77" s="352"/>
      <c r="U77" s="352"/>
      <c r="V77" s="352"/>
      <c r="W77" s="352"/>
      <c r="X77" s="353"/>
    </row>
    <row r="78" spans="2:24" ht="12.75" hidden="1" customHeight="1" x14ac:dyDescent="0.25">
      <c r="B78" s="348"/>
      <c r="C78" s="349"/>
      <c r="D78" s="351"/>
      <c r="E78" s="352"/>
      <c r="F78" s="352"/>
      <c r="G78" s="352"/>
      <c r="H78" s="352"/>
      <c r="I78" s="352"/>
      <c r="J78" s="352"/>
      <c r="K78" s="352"/>
      <c r="L78" s="352"/>
      <c r="M78" s="352"/>
      <c r="N78" s="352"/>
      <c r="O78" s="352"/>
      <c r="P78" s="352"/>
      <c r="Q78" s="352"/>
      <c r="R78" s="352"/>
      <c r="S78" s="352"/>
      <c r="T78" s="352"/>
      <c r="U78" s="352"/>
      <c r="V78" s="352"/>
      <c r="W78" s="352"/>
      <c r="X78" s="353"/>
    </row>
    <row r="79" spans="2:24" ht="12.75" hidden="1" customHeight="1" x14ac:dyDescent="0.25">
      <c r="B79" s="348"/>
      <c r="C79" s="349"/>
      <c r="D79" s="351"/>
      <c r="E79" s="352"/>
      <c r="F79" s="352"/>
      <c r="G79" s="352"/>
      <c r="H79" s="352"/>
      <c r="I79" s="352"/>
      <c r="J79" s="352"/>
      <c r="K79" s="352"/>
      <c r="L79" s="352"/>
      <c r="M79" s="352"/>
      <c r="N79" s="352"/>
      <c r="O79" s="352"/>
      <c r="P79" s="352"/>
      <c r="Q79" s="352"/>
      <c r="R79" s="352"/>
      <c r="S79" s="352"/>
      <c r="T79" s="352"/>
      <c r="U79" s="352"/>
      <c r="V79" s="352"/>
      <c r="W79" s="352"/>
      <c r="X79" s="353"/>
    </row>
    <row r="80" spans="2:24" ht="12.75" hidden="1" customHeight="1" x14ac:dyDescent="0.25">
      <c r="B80" s="348"/>
      <c r="C80" s="349"/>
      <c r="D80" s="351"/>
      <c r="E80" s="352"/>
      <c r="F80" s="352"/>
      <c r="G80" s="352"/>
      <c r="H80" s="352"/>
      <c r="I80" s="352"/>
      <c r="J80" s="352"/>
      <c r="K80" s="352"/>
      <c r="L80" s="352"/>
      <c r="M80" s="352"/>
      <c r="N80" s="352"/>
      <c r="O80" s="352"/>
      <c r="P80" s="352"/>
      <c r="Q80" s="352"/>
      <c r="R80" s="352"/>
      <c r="S80" s="352"/>
      <c r="T80" s="352"/>
      <c r="U80" s="352"/>
      <c r="V80" s="352"/>
      <c r="W80" s="352"/>
      <c r="X80" s="353"/>
    </row>
    <row r="81" spans="2:24" ht="12.75" hidden="1" customHeight="1" x14ac:dyDescent="0.25">
      <c r="B81" s="348"/>
      <c r="C81" s="349"/>
      <c r="D81" s="351"/>
      <c r="E81" s="352"/>
      <c r="F81" s="352"/>
      <c r="G81" s="352"/>
      <c r="H81" s="352"/>
      <c r="I81" s="352"/>
      <c r="J81" s="352"/>
      <c r="K81" s="352"/>
      <c r="L81" s="352"/>
      <c r="M81" s="352"/>
      <c r="N81" s="352"/>
      <c r="O81" s="352"/>
      <c r="P81" s="352"/>
      <c r="Q81" s="352"/>
      <c r="R81" s="352"/>
      <c r="S81" s="352"/>
      <c r="T81" s="352"/>
      <c r="U81" s="352"/>
      <c r="V81" s="352"/>
      <c r="W81" s="352"/>
      <c r="X81" s="353"/>
    </row>
    <row r="82" spans="2:24" ht="12.75" hidden="1" customHeight="1" x14ac:dyDescent="0.25">
      <c r="B82" s="348"/>
      <c r="C82" s="349"/>
      <c r="D82" s="351"/>
      <c r="E82" s="352"/>
      <c r="F82" s="352"/>
      <c r="G82" s="352"/>
      <c r="H82" s="352"/>
      <c r="I82" s="352"/>
      <c r="J82" s="352"/>
      <c r="K82" s="352"/>
      <c r="L82" s="352"/>
      <c r="M82" s="352"/>
      <c r="N82" s="352"/>
      <c r="O82" s="352"/>
      <c r="P82" s="352"/>
      <c r="Q82" s="352"/>
      <c r="R82" s="352"/>
      <c r="S82" s="352"/>
      <c r="T82" s="352"/>
      <c r="U82" s="352"/>
      <c r="V82" s="352"/>
      <c r="W82" s="352"/>
      <c r="X82" s="353"/>
    </row>
    <row r="83" spans="2:24" ht="12.75" hidden="1" customHeight="1" x14ac:dyDescent="0.25">
      <c r="B83" s="348"/>
      <c r="C83" s="349"/>
      <c r="D83" s="351"/>
      <c r="E83" s="352"/>
      <c r="F83" s="352"/>
      <c r="G83" s="352"/>
      <c r="H83" s="352"/>
      <c r="I83" s="352"/>
      <c r="J83" s="352"/>
      <c r="K83" s="352"/>
      <c r="L83" s="352"/>
      <c r="M83" s="352"/>
      <c r="N83" s="352"/>
      <c r="O83" s="352"/>
      <c r="P83" s="352"/>
      <c r="Q83" s="352"/>
      <c r="R83" s="352"/>
      <c r="S83" s="352"/>
      <c r="T83" s="352"/>
      <c r="U83" s="352"/>
      <c r="V83" s="352"/>
      <c r="W83" s="352"/>
      <c r="X83" s="353"/>
    </row>
    <row r="84" spans="2:24" ht="12.75" hidden="1" customHeight="1" x14ac:dyDescent="0.25">
      <c r="B84" s="348"/>
      <c r="C84" s="349"/>
      <c r="D84" s="351"/>
      <c r="E84" s="352"/>
      <c r="F84" s="352"/>
      <c r="G84" s="352"/>
      <c r="H84" s="352"/>
      <c r="I84" s="352"/>
      <c r="J84" s="352"/>
      <c r="K84" s="352"/>
      <c r="L84" s="352"/>
      <c r="M84" s="352"/>
      <c r="N84" s="352"/>
      <c r="O84" s="352"/>
      <c r="P84" s="352"/>
      <c r="Q84" s="352"/>
      <c r="R84" s="352"/>
      <c r="S84" s="352"/>
      <c r="T84" s="352"/>
      <c r="U84" s="352"/>
      <c r="V84" s="352"/>
      <c r="W84" s="352"/>
      <c r="X84" s="353"/>
    </row>
    <row r="85" spans="2:24" ht="12.75" hidden="1" customHeight="1" x14ac:dyDescent="0.25">
      <c r="B85" s="348"/>
      <c r="C85" s="349"/>
      <c r="D85" s="351"/>
      <c r="E85" s="352"/>
      <c r="F85" s="352"/>
      <c r="G85" s="352"/>
      <c r="H85" s="352"/>
      <c r="I85" s="352"/>
      <c r="J85" s="352"/>
      <c r="K85" s="352"/>
      <c r="L85" s="352"/>
      <c r="M85" s="352"/>
      <c r="N85" s="352"/>
      <c r="O85" s="352"/>
      <c r="P85" s="352"/>
      <c r="Q85" s="352"/>
      <c r="R85" s="352"/>
      <c r="S85" s="352"/>
      <c r="T85" s="352"/>
      <c r="U85" s="352"/>
      <c r="V85" s="352"/>
      <c r="W85" s="352"/>
      <c r="X85" s="353"/>
    </row>
    <row r="86" spans="2:24" ht="12.75" hidden="1" customHeight="1" x14ac:dyDescent="0.25">
      <c r="B86" s="348"/>
      <c r="C86" s="349"/>
      <c r="D86" s="351"/>
      <c r="E86" s="352"/>
      <c r="F86" s="352"/>
      <c r="G86" s="352"/>
      <c r="H86" s="352"/>
      <c r="I86" s="352"/>
      <c r="J86" s="352"/>
      <c r="K86" s="352"/>
      <c r="L86" s="352"/>
      <c r="M86" s="352"/>
      <c r="N86" s="352"/>
      <c r="O86" s="352"/>
      <c r="P86" s="352"/>
      <c r="Q86" s="352"/>
      <c r="R86" s="352"/>
      <c r="S86" s="352"/>
      <c r="T86" s="352"/>
      <c r="U86" s="352"/>
      <c r="V86" s="352"/>
      <c r="W86" s="352"/>
      <c r="X86" s="353"/>
    </row>
    <row r="87" spans="2:24" ht="12.75" hidden="1" customHeight="1" x14ac:dyDescent="0.25">
      <c r="B87" s="348"/>
      <c r="C87" s="349"/>
      <c r="D87" s="351"/>
      <c r="E87" s="352"/>
      <c r="F87" s="352"/>
      <c r="G87" s="352"/>
      <c r="H87" s="352"/>
      <c r="I87" s="352"/>
      <c r="J87" s="352"/>
      <c r="K87" s="352"/>
      <c r="L87" s="352"/>
      <c r="M87" s="352"/>
      <c r="N87" s="352"/>
      <c r="O87" s="352"/>
      <c r="P87" s="352"/>
      <c r="Q87" s="352"/>
      <c r="R87" s="352"/>
      <c r="S87" s="352"/>
      <c r="T87" s="352"/>
      <c r="U87" s="352"/>
      <c r="V87" s="352"/>
      <c r="W87" s="352"/>
      <c r="X87" s="353"/>
    </row>
    <row r="88" spans="2:24" ht="12.75" hidden="1" customHeight="1" x14ac:dyDescent="0.25">
      <c r="B88" s="348"/>
      <c r="C88" s="349"/>
      <c r="D88" s="351"/>
      <c r="E88" s="352"/>
      <c r="F88" s="352"/>
      <c r="G88" s="352"/>
      <c r="H88" s="352"/>
      <c r="I88" s="352"/>
      <c r="J88" s="352"/>
      <c r="K88" s="352"/>
      <c r="L88" s="352"/>
      <c r="M88" s="352"/>
      <c r="N88" s="352"/>
      <c r="O88" s="352"/>
      <c r="P88" s="352"/>
      <c r="Q88" s="352"/>
      <c r="R88" s="352"/>
      <c r="S88" s="352"/>
      <c r="T88" s="352"/>
      <c r="U88" s="352"/>
      <c r="V88" s="352"/>
      <c r="W88" s="352"/>
      <c r="X88" s="353"/>
    </row>
    <row r="89" spans="2:24" ht="12.75" hidden="1" customHeight="1" x14ac:dyDescent="0.25">
      <c r="B89" s="348"/>
      <c r="C89" s="349"/>
      <c r="D89" s="351"/>
      <c r="E89" s="352"/>
      <c r="F89" s="352"/>
      <c r="G89" s="352"/>
      <c r="H89" s="352"/>
      <c r="I89" s="352"/>
      <c r="J89" s="352"/>
      <c r="K89" s="352"/>
      <c r="L89" s="352"/>
      <c r="M89" s="352"/>
      <c r="N89" s="352"/>
      <c r="O89" s="352"/>
      <c r="P89" s="352"/>
      <c r="Q89" s="352"/>
      <c r="R89" s="352"/>
      <c r="S89" s="352"/>
      <c r="T89" s="352"/>
      <c r="U89" s="352"/>
      <c r="V89" s="352"/>
      <c r="W89" s="352"/>
      <c r="X89" s="353"/>
    </row>
    <row r="90" spans="2:24" ht="12.75" hidden="1" customHeight="1" x14ac:dyDescent="0.25">
      <c r="B90" s="348"/>
      <c r="C90" s="349"/>
      <c r="D90" s="351"/>
      <c r="E90" s="352"/>
      <c r="F90" s="352"/>
      <c r="G90" s="352"/>
      <c r="H90" s="352"/>
      <c r="I90" s="352"/>
      <c r="J90" s="352"/>
      <c r="K90" s="352"/>
      <c r="L90" s="352"/>
      <c r="M90" s="352"/>
      <c r="N90" s="352"/>
      <c r="O90" s="352"/>
      <c r="P90" s="352"/>
      <c r="Q90" s="352"/>
      <c r="R90" s="352"/>
      <c r="S90" s="352"/>
      <c r="T90" s="352"/>
      <c r="U90" s="352"/>
      <c r="V90" s="352"/>
      <c r="W90" s="352"/>
      <c r="X90" s="353"/>
    </row>
    <row r="91" spans="2:24" ht="12.75" hidden="1" customHeight="1" x14ac:dyDescent="0.25">
      <c r="B91" s="348"/>
      <c r="C91" s="349"/>
      <c r="D91" s="351"/>
      <c r="E91" s="352"/>
      <c r="F91" s="352"/>
      <c r="G91" s="352"/>
      <c r="H91" s="352"/>
      <c r="I91" s="352"/>
      <c r="J91" s="352"/>
      <c r="K91" s="352"/>
      <c r="L91" s="352"/>
      <c r="M91" s="352"/>
      <c r="N91" s="352"/>
      <c r="O91" s="352"/>
      <c r="P91" s="352"/>
      <c r="Q91" s="352"/>
      <c r="R91" s="352"/>
      <c r="S91" s="352"/>
      <c r="T91" s="352"/>
      <c r="U91" s="352"/>
      <c r="V91" s="352"/>
      <c r="W91" s="352"/>
      <c r="X91" s="353"/>
    </row>
    <row r="92" spans="2:24" ht="12.75" hidden="1" customHeight="1" x14ac:dyDescent="0.25">
      <c r="B92" s="348"/>
      <c r="C92" s="349"/>
      <c r="D92" s="351"/>
      <c r="E92" s="352"/>
      <c r="F92" s="352"/>
      <c r="G92" s="352"/>
      <c r="H92" s="352"/>
      <c r="I92" s="352"/>
      <c r="J92" s="352"/>
      <c r="K92" s="352"/>
      <c r="L92" s="352"/>
      <c r="M92" s="352"/>
      <c r="N92" s="352"/>
      <c r="O92" s="352"/>
      <c r="P92" s="352"/>
      <c r="Q92" s="352"/>
      <c r="R92" s="352"/>
      <c r="S92" s="352"/>
      <c r="T92" s="352"/>
      <c r="U92" s="352"/>
      <c r="V92" s="352"/>
      <c r="W92" s="352"/>
      <c r="X92" s="353"/>
    </row>
    <row r="93" spans="2:24" ht="12.75" hidden="1" customHeight="1" x14ac:dyDescent="0.25">
      <c r="B93" s="348"/>
      <c r="C93" s="349"/>
      <c r="D93" s="351"/>
      <c r="E93" s="352"/>
      <c r="F93" s="352"/>
      <c r="G93" s="352"/>
      <c r="H93" s="352"/>
      <c r="I93" s="352"/>
      <c r="J93" s="352"/>
      <c r="K93" s="352"/>
      <c r="L93" s="352"/>
      <c r="M93" s="352"/>
      <c r="N93" s="352"/>
      <c r="O93" s="352"/>
      <c r="P93" s="352"/>
      <c r="Q93" s="352"/>
      <c r="R93" s="352"/>
      <c r="S93" s="352"/>
      <c r="T93" s="352"/>
      <c r="U93" s="352"/>
      <c r="V93" s="352"/>
      <c r="W93" s="352"/>
      <c r="X93" s="353"/>
    </row>
    <row r="94" spans="2:24" ht="13.5" customHeight="1" x14ac:dyDescent="0.25">
      <c r="B94" s="348"/>
      <c r="C94" s="349"/>
      <c r="D94" s="351"/>
      <c r="E94" s="352"/>
      <c r="F94" s="352"/>
      <c r="G94" s="352"/>
      <c r="H94" s="352"/>
      <c r="I94" s="352"/>
      <c r="J94" s="352"/>
      <c r="K94" s="352"/>
      <c r="L94" s="352"/>
      <c r="M94" s="352"/>
      <c r="N94" s="352"/>
      <c r="O94" s="352"/>
      <c r="P94" s="352"/>
      <c r="Q94" s="352"/>
      <c r="R94" s="352"/>
      <c r="S94" s="352"/>
      <c r="T94" s="352"/>
      <c r="U94" s="352"/>
      <c r="V94" s="352"/>
      <c r="W94" s="352"/>
      <c r="X94" s="353"/>
    </row>
    <row r="95" spans="2:24" ht="13.5" customHeight="1" x14ac:dyDescent="0.25">
      <c r="B95" s="354" t="s">
        <v>182</v>
      </c>
      <c r="C95" s="355"/>
      <c r="D95" s="494">
        <f t="shared" ref="D95:W95" si="7">SUMPRODUCT($D$70:$W$70/$D$72:$W$72*($D$6:$W$6&lt;=D$6)*(D$6-$D$6:$W$6&lt;$D$72:$W$72))</f>
        <v>0</v>
      </c>
      <c r="E95" s="494">
        <f t="shared" si="7"/>
        <v>1046827056.1983473</v>
      </c>
      <c r="F95" s="494">
        <f t="shared" si="7"/>
        <v>2093654112.3966947</v>
      </c>
      <c r="G95" s="494">
        <f t="shared" si="7"/>
        <v>3140481168.5950422</v>
      </c>
      <c r="H95" s="494">
        <f t="shared" si="7"/>
        <v>4187308224.7933893</v>
      </c>
      <c r="I95" s="494">
        <f t="shared" si="7"/>
        <v>5234135280.9917364</v>
      </c>
      <c r="J95" s="494">
        <f t="shared" si="7"/>
        <v>5234135280.9917364</v>
      </c>
      <c r="K95" s="494">
        <f t="shared" si="7"/>
        <v>5234135280.9917364</v>
      </c>
      <c r="L95" s="494">
        <f t="shared" si="7"/>
        <v>5234135280.9917364</v>
      </c>
      <c r="M95" s="494">
        <f t="shared" si="7"/>
        <v>5234135280.9917364</v>
      </c>
      <c r="N95" s="494">
        <f t="shared" si="7"/>
        <v>5234135280.9917364</v>
      </c>
      <c r="O95" s="494">
        <f t="shared" si="7"/>
        <v>5234135280.9917364</v>
      </c>
      <c r="P95" s="494">
        <f t="shared" si="7"/>
        <v>5234135280.9917364</v>
      </c>
      <c r="Q95" s="494">
        <f t="shared" si="7"/>
        <v>5234135280.9917364</v>
      </c>
      <c r="R95" s="494">
        <f t="shared" si="7"/>
        <v>5234135280.9917364</v>
      </c>
      <c r="S95" s="494">
        <f t="shared" si="7"/>
        <v>5234135280.9917364</v>
      </c>
      <c r="T95" s="494">
        <f t="shared" si="7"/>
        <v>5495842045.0413237</v>
      </c>
      <c r="U95" s="494">
        <f t="shared" si="7"/>
        <v>6193726749.1735554</v>
      </c>
      <c r="V95" s="494">
        <f t="shared" si="7"/>
        <v>7763967333.4710751</v>
      </c>
      <c r="W95" s="494">
        <f t="shared" si="7"/>
        <v>11951275558.264465</v>
      </c>
      <c r="X95" s="356">
        <f>SUM(D95:W95)</f>
        <v>99448570338.843002</v>
      </c>
    </row>
    <row r="96" spans="2:24" ht="12.75" customHeight="1" x14ac:dyDescent="0.25">
      <c r="B96" s="348"/>
      <c r="C96" s="349"/>
      <c r="D96" s="351"/>
      <c r="E96" s="352"/>
      <c r="F96" s="352"/>
      <c r="G96" s="352"/>
      <c r="H96" s="352"/>
      <c r="I96" s="352"/>
      <c r="J96" s="352"/>
      <c r="K96" s="352"/>
      <c r="L96" s="352"/>
      <c r="M96" s="352"/>
      <c r="N96" s="352"/>
      <c r="O96" s="352"/>
      <c r="P96" s="352"/>
      <c r="Q96" s="352"/>
      <c r="R96" s="352"/>
      <c r="S96" s="352"/>
      <c r="T96" s="352"/>
      <c r="U96" s="352"/>
      <c r="V96" s="352"/>
      <c r="W96" s="352"/>
      <c r="X96" s="353"/>
    </row>
    <row r="97" spans="2:24" ht="13.5" customHeight="1" x14ac:dyDescent="0.25">
      <c r="B97" s="348"/>
      <c r="C97" s="349"/>
      <c r="D97" s="351"/>
      <c r="E97" s="352"/>
      <c r="F97" s="352"/>
      <c r="G97" s="352"/>
      <c r="H97" s="352"/>
      <c r="I97" s="352"/>
      <c r="J97" s="352"/>
      <c r="K97" s="352"/>
      <c r="L97" s="352"/>
      <c r="M97" s="352"/>
      <c r="N97" s="352"/>
      <c r="O97" s="352"/>
      <c r="P97" s="352"/>
      <c r="Q97" s="352"/>
      <c r="R97" s="352"/>
      <c r="S97" s="352"/>
      <c r="T97" s="352"/>
      <c r="U97" s="352"/>
      <c r="V97" s="352"/>
      <c r="W97" s="352"/>
      <c r="X97" s="353"/>
    </row>
    <row r="98" spans="2:24" ht="13.5" customHeight="1" x14ac:dyDescent="0.25">
      <c r="B98" s="357" t="s">
        <v>183</v>
      </c>
      <c r="C98" s="355"/>
      <c r="D98" s="358">
        <f t="shared" ref="D98:W98" si="8">+D68+D95</f>
        <v>817042561.98347116</v>
      </c>
      <c r="E98" s="358">
        <f t="shared" si="8"/>
        <v>1863869618.1818185</v>
      </c>
      <c r="F98" s="358">
        <f t="shared" si="8"/>
        <v>3369374360.3305788</v>
      </c>
      <c r="G98" s="358">
        <f t="shared" si="8"/>
        <v>5225632627.0296555</v>
      </c>
      <c r="H98" s="358">
        <f t="shared" si="8"/>
        <v>6654691088.1866808</v>
      </c>
      <c r="I98" s="358">
        <f t="shared" si="8"/>
        <v>8353859742.1811714</v>
      </c>
      <c r="J98" s="358">
        <f t="shared" si="8"/>
        <v>9402265881.4964008</v>
      </c>
      <c r="K98" s="358">
        <f t="shared" si="8"/>
        <v>10531318646.912804</v>
      </c>
      <c r="L98" s="358">
        <f t="shared" si="8"/>
        <v>11346745644.157982</v>
      </c>
      <c r="M98" s="358">
        <f t="shared" si="8"/>
        <v>11346745644.157982</v>
      </c>
      <c r="N98" s="358">
        <f t="shared" si="8"/>
        <v>11346745644.157982</v>
      </c>
      <c r="O98" s="358">
        <f t="shared" si="8"/>
        <v>11346745644.157982</v>
      </c>
      <c r="P98" s="358">
        <f t="shared" si="8"/>
        <v>11346745644.157982</v>
      </c>
      <c r="Q98" s="358">
        <f t="shared" si="8"/>
        <v>11346745644.157982</v>
      </c>
      <c r="R98" s="358">
        <f t="shared" si="8"/>
        <v>11346745644.157982</v>
      </c>
      <c r="S98" s="358">
        <f t="shared" si="8"/>
        <v>11346745644.157982</v>
      </c>
      <c r="T98" s="358">
        <f t="shared" si="8"/>
        <v>11608452408.207569</v>
      </c>
      <c r="U98" s="358">
        <f t="shared" si="8"/>
        <v>12306337112.339802</v>
      </c>
      <c r="V98" s="358">
        <f t="shared" si="8"/>
        <v>13876577696.637321</v>
      </c>
      <c r="W98" s="358">
        <f t="shared" si="8"/>
        <v>18063885921.43071</v>
      </c>
      <c r="X98" s="359">
        <f>SUM(D98:W98)</f>
        <v>192847272818.18188</v>
      </c>
    </row>
    <row r="99" spans="2:24" ht="13.5" customHeight="1" x14ac:dyDescent="0.25">
      <c r="B99" s="348"/>
      <c r="C99" s="349"/>
      <c r="D99" s="351"/>
      <c r="E99" s="352"/>
      <c r="F99" s="352"/>
      <c r="G99" s="352"/>
      <c r="H99" s="352"/>
      <c r="I99" s="352"/>
      <c r="J99" s="352"/>
      <c r="K99" s="352"/>
      <c r="L99" s="352"/>
      <c r="M99" s="352"/>
      <c r="N99" s="352"/>
      <c r="O99" s="352"/>
      <c r="P99" s="352"/>
      <c r="Q99" s="352"/>
      <c r="R99" s="352"/>
      <c r="S99" s="352"/>
      <c r="T99" s="352"/>
      <c r="U99" s="352"/>
      <c r="V99" s="352"/>
      <c r="W99" s="352"/>
      <c r="X99" s="353"/>
    </row>
    <row r="100" spans="2:24" ht="13.5" customHeight="1" x14ac:dyDescent="0.25">
      <c r="B100" s="354" t="s">
        <v>184</v>
      </c>
      <c r="C100" s="355"/>
      <c r="D100" s="360">
        <f t="shared" ref="D100:W100" si="9">D98+C100</f>
        <v>817042561.98347116</v>
      </c>
      <c r="E100" s="360">
        <f t="shared" si="9"/>
        <v>2680912180.1652899</v>
      </c>
      <c r="F100" s="360">
        <f t="shared" si="9"/>
        <v>6050286540.4958687</v>
      </c>
      <c r="G100" s="360">
        <f t="shared" si="9"/>
        <v>11275919167.525524</v>
      </c>
      <c r="H100" s="360">
        <f t="shared" si="9"/>
        <v>17930610255.712204</v>
      </c>
      <c r="I100" s="360">
        <f t="shared" si="9"/>
        <v>26284469997.893375</v>
      </c>
      <c r="J100" s="360">
        <f t="shared" si="9"/>
        <v>35686735879.389778</v>
      </c>
      <c r="K100" s="360">
        <f t="shared" si="9"/>
        <v>46218054526.302582</v>
      </c>
      <c r="L100" s="360">
        <f t="shared" si="9"/>
        <v>57564800170.460564</v>
      </c>
      <c r="M100" s="360">
        <f t="shared" si="9"/>
        <v>68911545814.618546</v>
      </c>
      <c r="N100" s="360">
        <f t="shared" si="9"/>
        <v>80258291458.77652</v>
      </c>
      <c r="O100" s="360">
        <f t="shared" si="9"/>
        <v>91605037102.934509</v>
      </c>
      <c r="P100" s="360">
        <f t="shared" si="9"/>
        <v>102951782747.0925</v>
      </c>
      <c r="Q100" s="360">
        <f t="shared" si="9"/>
        <v>114298528391.25049</v>
      </c>
      <c r="R100" s="360">
        <f t="shared" si="9"/>
        <v>125645274035.40848</v>
      </c>
      <c r="S100" s="360">
        <f t="shared" si="9"/>
        <v>136992019679.56647</v>
      </c>
      <c r="T100" s="360">
        <f t="shared" si="9"/>
        <v>148600472087.77405</v>
      </c>
      <c r="U100" s="360">
        <f t="shared" si="9"/>
        <v>160906809200.11386</v>
      </c>
      <c r="V100" s="360">
        <f t="shared" si="9"/>
        <v>174783386896.75119</v>
      </c>
      <c r="W100" s="360">
        <f t="shared" si="9"/>
        <v>192847272818.18188</v>
      </c>
      <c r="X100" s="356"/>
    </row>
    <row r="102" spans="2:24" ht="13.5" customHeight="1" x14ac:dyDescent="0.25"/>
    <row r="103" spans="2:24" ht="13.5" customHeight="1" x14ac:dyDescent="0.3">
      <c r="B103" s="533" t="s">
        <v>186</v>
      </c>
      <c r="C103" s="512"/>
      <c r="D103" s="512"/>
      <c r="E103" s="512"/>
      <c r="F103" s="512"/>
      <c r="G103" s="512"/>
      <c r="H103" s="512"/>
      <c r="I103" s="512"/>
      <c r="J103" s="512"/>
      <c r="K103" s="512"/>
      <c r="L103" s="512"/>
      <c r="M103" s="512"/>
      <c r="N103" s="512"/>
      <c r="O103" s="512"/>
      <c r="P103" s="512"/>
      <c r="Q103" s="512"/>
      <c r="R103" s="512"/>
      <c r="S103" s="512"/>
      <c r="T103" s="512"/>
      <c r="U103" s="512"/>
      <c r="V103" s="512"/>
      <c r="W103" s="512"/>
      <c r="X103" s="513"/>
    </row>
    <row r="104" spans="2:24" ht="13.5" customHeight="1" x14ac:dyDescent="0.25">
      <c r="B104" s="7"/>
      <c r="C104" s="7"/>
      <c r="D104" s="7"/>
      <c r="E104" s="7"/>
      <c r="F104" s="7"/>
      <c r="G104" s="7"/>
      <c r="H104" s="7"/>
      <c r="I104" s="7"/>
      <c r="J104" s="7"/>
      <c r="K104" s="7"/>
      <c r="L104" s="7"/>
      <c r="M104" s="7"/>
      <c r="N104" s="7"/>
      <c r="O104" s="7"/>
      <c r="P104" s="7"/>
      <c r="Q104" s="7"/>
      <c r="R104" s="7"/>
      <c r="S104" s="7"/>
      <c r="T104" s="7"/>
      <c r="U104" s="7"/>
      <c r="V104" s="7"/>
      <c r="W104" s="7"/>
      <c r="X104" s="7"/>
    </row>
    <row r="105" spans="2:24" ht="13.5" customHeight="1" x14ac:dyDescent="0.25">
      <c r="B105" s="340" t="s">
        <v>155</v>
      </c>
      <c r="C105" s="341"/>
      <c r="D105" s="342" t="s">
        <v>156</v>
      </c>
      <c r="E105" s="342" t="s">
        <v>157</v>
      </c>
      <c r="F105" s="342" t="s">
        <v>158</v>
      </c>
      <c r="G105" s="342" t="s">
        <v>159</v>
      </c>
      <c r="H105" s="342" t="s">
        <v>160</v>
      </c>
      <c r="I105" s="342" t="s">
        <v>161</v>
      </c>
      <c r="J105" s="342" t="s">
        <v>162</v>
      </c>
      <c r="K105" s="342" t="s">
        <v>163</v>
      </c>
      <c r="L105" s="342" t="s">
        <v>164</v>
      </c>
      <c r="M105" s="342" t="s">
        <v>165</v>
      </c>
      <c r="N105" s="342" t="s">
        <v>166</v>
      </c>
      <c r="O105" s="342" t="s">
        <v>167</v>
      </c>
      <c r="P105" s="342" t="s">
        <v>168</v>
      </c>
      <c r="Q105" s="342" t="s">
        <v>169</v>
      </c>
      <c r="R105" s="342" t="s">
        <v>170</v>
      </c>
      <c r="S105" s="343" t="s">
        <v>171</v>
      </c>
      <c r="T105" s="343" t="s">
        <v>172</v>
      </c>
      <c r="U105" s="343" t="s">
        <v>173</v>
      </c>
      <c r="V105" s="343" t="s">
        <v>174</v>
      </c>
      <c r="W105" s="343" t="s">
        <v>175</v>
      </c>
      <c r="X105" s="344" t="s">
        <v>106</v>
      </c>
    </row>
    <row r="106" spans="2:24" ht="12.75" customHeight="1" x14ac:dyDescent="0.25">
      <c r="B106" s="345"/>
      <c r="C106" s="346"/>
      <c r="D106" s="112"/>
      <c r="E106" s="347"/>
      <c r="F106" s="347"/>
      <c r="G106" s="347"/>
      <c r="H106" s="347"/>
      <c r="I106" s="347"/>
      <c r="J106" s="347"/>
      <c r="K106" s="347"/>
      <c r="L106" s="347"/>
      <c r="M106" s="347"/>
      <c r="N106" s="347"/>
      <c r="O106" s="347"/>
      <c r="P106" s="347"/>
      <c r="Q106" s="347"/>
      <c r="R106" s="347"/>
      <c r="S106" s="347"/>
      <c r="T106" s="347"/>
      <c r="U106" s="347"/>
      <c r="V106" s="347"/>
      <c r="W106" s="347"/>
      <c r="X106" s="346"/>
    </row>
    <row r="107" spans="2:24" ht="12.75" customHeight="1" x14ac:dyDescent="0.25">
      <c r="B107" s="348" t="s">
        <v>177</v>
      </c>
      <c r="C107" s="349"/>
      <c r="D107" s="490">
        <f t="shared" ref="D107:W107" si="10">+D57</f>
        <v>16340851239.669422</v>
      </c>
      <c r="E107" s="490">
        <f t="shared" si="10"/>
        <v>0</v>
      </c>
      <c r="F107" s="490">
        <f t="shared" si="10"/>
        <v>8256198347.1074381</v>
      </c>
      <c r="G107" s="490">
        <f t="shared" si="10"/>
        <v>13760330578.512398</v>
      </c>
      <c r="H107" s="490">
        <f t="shared" si="10"/>
        <v>6115702479.3388433</v>
      </c>
      <c r="I107" s="490">
        <f t="shared" si="10"/>
        <v>9785123966.9421482</v>
      </c>
      <c r="J107" s="490">
        <f t="shared" si="10"/>
        <v>14677685950.413223</v>
      </c>
      <c r="K107" s="491">
        <f t="shared" si="10"/>
        <v>14677685950.413223</v>
      </c>
      <c r="L107" s="491">
        <f t="shared" si="10"/>
        <v>9785123966.9421482</v>
      </c>
      <c r="M107" s="491">
        <f t="shared" si="10"/>
        <v>0</v>
      </c>
      <c r="N107" s="491">
        <f t="shared" si="10"/>
        <v>0</v>
      </c>
      <c r="O107" s="491">
        <f t="shared" si="10"/>
        <v>0</v>
      </c>
      <c r="P107" s="491">
        <f t="shared" si="10"/>
        <v>0</v>
      </c>
      <c r="Q107" s="491">
        <f t="shared" si="10"/>
        <v>0</v>
      </c>
      <c r="R107" s="491">
        <f t="shared" si="10"/>
        <v>0</v>
      </c>
      <c r="S107" s="491">
        <f t="shared" si="10"/>
        <v>0</v>
      </c>
      <c r="T107" s="491">
        <f t="shared" si="10"/>
        <v>0</v>
      </c>
      <c r="U107" s="491">
        <f t="shared" si="10"/>
        <v>0</v>
      </c>
      <c r="V107" s="491">
        <f t="shared" si="10"/>
        <v>0</v>
      </c>
      <c r="W107" s="491">
        <f t="shared" si="10"/>
        <v>0</v>
      </c>
      <c r="X107" s="350">
        <f>SUM(D107:W107)</f>
        <v>93398702479.338852</v>
      </c>
    </row>
    <row r="108" spans="2:24" ht="12.75" customHeight="1" x14ac:dyDescent="0.25">
      <c r="B108" s="348"/>
      <c r="C108" s="349"/>
      <c r="D108" s="351"/>
      <c r="E108" s="352"/>
      <c r="F108" s="352"/>
      <c r="G108" s="352"/>
      <c r="H108" s="352"/>
      <c r="I108" s="352"/>
      <c r="J108" s="352"/>
      <c r="K108" s="352"/>
      <c r="L108" s="352"/>
      <c r="M108" s="352"/>
      <c r="N108" s="352"/>
      <c r="O108" s="352"/>
      <c r="P108" s="352"/>
      <c r="Q108" s="352"/>
      <c r="R108" s="352"/>
      <c r="S108" s="352"/>
      <c r="T108" s="352"/>
      <c r="U108" s="352"/>
      <c r="V108" s="352"/>
      <c r="W108" s="352"/>
      <c r="X108" s="353"/>
    </row>
    <row r="109" spans="2:24" ht="12.75" customHeight="1" x14ac:dyDescent="0.25">
      <c r="B109" s="348" t="s">
        <v>178</v>
      </c>
      <c r="C109" s="349"/>
      <c r="D109" s="492">
        <f>1</f>
        <v>1</v>
      </c>
      <c r="E109" s="492">
        <f>1</f>
        <v>1</v>
      </c>
      <c r="F109" s="492">
        <f>1</f>
        <v>1</v>
      </c>
      <c r="G109" s="492">
        <f>1</f>
        <v>1</v>
      </c>
      <c r="H109" s="492">
        <f>1</f>
        <v>1</v>
      </c>
      <c r="I109" s="492">
        <f>1</f>
        <v>1</v>
      </c>
      <c r="J109" s="492">
        <f>1</f>
        <v>1</v>
      </c>
      <c r="K109" s="492">
        <f>1</f>
        <v>1</v>
      </c>
      <c r="L109" s="492">
        <f>1</f>
        <v>1</v>
      </c>
      <c r="M109" s="492">
        <f>1</f>
        <v>1</v>
      </c>
      <c r="N109" s="492">
        <f>1</f>
        <v>1</v>
      </c>
      <c r="O109" s="492">
        <f>1</f>
        <v>1</v>
      </c>
      <c r="P109" s="492">
        <f>1</f>
        <v>1</v>
      </c>
      <c r="Q109" s="492">
        <f>1</f>
        <v>1</v>
      </c>
      <c r="R109" s="492">
        <f>1</f>
        <v>1</v>
      </c>
      <c r="S109" s="492">
        <f>1</f>
        <v>1</v>
      </c>
      <c r="T109" s="492">
        <f>1</f>
        <v>1</v>
      </c>
      <c r="U109" s="492">
        <f>1</f>
        <v>1</v>
      </c>
      <c r="V109" s="492">
        <f>1</f>
        <v>1</v>
      </c>
      <c r="W109" s="492">
        <f>1</f>
        <v>1</v>
      </c>
      <c r="X109" s="353"/>
    </row>
    <row r="110" spans="2:24" ht="12.75" customHeight="1" x14ac:dyDescent="0.25">
      <c r="B110" s="348"/>
      <c r="C110" s="349"/>
      <c r="D110" s="351"/>
      <c r="E110" s="352"/>
      <c r="F110" s="352"/>
      <c r="G110" s="352"/>
      <c r="H110" s="352"/>
      <c r="I110" s="352"/>
      <c r="J110" s="352"/>
      <c r="K110" s="352"/>
      <c r="L110" s="352"/>
      <c r="M110" s="352"/>
      <c r="N110" s="352"/>
      <c r="O110" s="352"/>
      <c r="P110" s="352"/>
      <c r="Q110" s="352"/>
      <c r="R110" s="352"/>
      <c r="S110" s="352"/>
      <c r="T110" s="352"/>
      <c r="U110" s="352"/>
      <c r="V110" s="352"/>
      <c r="W110" s="352"/>
      <c r="X110" s="353"/>
    </row>
    <row r="111" spans="2:24" ht="12.75" hidden="1" customHeight="1" x14ac:dyDescent="0.25">
      <c r="B111" s="493" t="s">
        <v>179</v>
      </c>
      <c r="C111" s="349"/>
      <c r="D111" s="351"/>
      <c r="E111" s="352"/>
      <c r="F111" s="352"/>
      <c r="G111" s="352"/>
      <c r="H111" s="352"/>
      <c r="I111" s="352"/>
      <c r="J111" s="352"/>
      <c r="K111" s="352"/>
      <c r="L111" s="352"/>
      <c r="M111" s="352"/>
      <c r="N111" s="352"/>
      <c r="O111" s="352"/>
      <c r="P111" s="352"/>
      <c r="Q111" s="352"/>
      <c r="R111" s="352"/>
      <c r="S111" s="352"/>
      <c r="T111" s="352"/>
      <c r="U111" s="352"/>
      <c r="V111" s="352"/>
      <c r="W111" s="352"/>
      <c r="X111" s="350"/>
    </row>
    <row r="112" spans="2:24" ht="12.75" hidden="1" customHeight="1" x14ac:dyDescent="0.25">
      <c r="B112" s="348"/>
      <c r="C112" s="349"/>
      <c r="D112" s="351"/>
      <c r="E112" s="352"/>
      <c r="F112" s="352"/>
      <c r="G112" s="352"/>
      <c r="H112" s="352"/>
      <c r="I112" s="352"/>
      <c r="J112" s="352"/>
      <c r="K112" s="352"/>
      <c r="L112" s="352"/>
      <c r="M112" s="352"/>
      <c r="N112" s="352"/>
      <c r="O112" s="352"/>
      <c r="P112" s="352"/>
      <c r="Q112" s="352"/>
      <c r="R112" s="352"/>
      <c r="S112" s="352"/>
      <c r="T112" s="352"/>
      <c r="U112" s="352"/>
      <c r="V112" s="352"/>
      <c r="W112" s="352"/>
      <c r="X112" s="350"/>
    </row>
    <row r="113" spans="2:24" ht="12.75" hidden="1" customHeight="1" x14ac:dyDescent="0.25">
      <c r="B113" s="348"/>
      <c r="C113" s="349"/>
      <c r="D113" s="351"/>
      <c r="E113" s="352"/>
      <c r="F113" s="352"/>
      <c r="G113" s="352"/>
      <c r="H113" s="352"/>
      <c r="I113" s="352"/>
      <c r="J113" s="352"/>
      <c r="K113" s="352"/>
      <c r="L113" s="352"/>
      <c r="M113" s="352"/>
      <c r="N113" s="352"/>
      <c r="O113" s="352"/>
      <c r="P113" s="352"/>
      <c r="Q113" s="352"/>
      <c r="R113" s="352"/>
      <c r="S113" s="352"/>
      <c r="T113" s="352"/>
      <c r="U113" s="352"/>
      <c r="V113" s="352"/>
      <c r="W113" s="352"/>
      <c r="X113" s="350"/>
    </row>
    <row r="114" spans="2:24" ht="12.75" hidden="1" customHeight="1" x14ac:dyDescent="0.25">
      <c r="B114" s="348"/>
      <c r="C114" s="349"/>
      <c r="D114" s="351"/>
      <c r="E114" s="352"/>
      <c r="F114" s="352"/>
      <c r="G114" s="352"/>
      <c r="H114" s="352"/>
      <c r="I114" s="352"/>
      <c r="J114" s="352"/>
      <c r="K114" s="352"/>
      <c r="L114" s="352"/>
      <c r="M114" s="352"/>
      <c r="N114" s="352"/>
      <c r="O114" s="352"/>
      <c r="P114" s="352"/>
      <c r="Q114" s="352"/>
      <c r="R114" s="352"/>
      <c r="S114" s="352"/>
      <c r="T114" s="352"/>
      <c r="U114" s="352"/>
      <c r="V114" s="352"/>
      <c r="W114" s="352"/>
      <c r="X114" s="350"/>
    </row>
    <row r="115" spans="2:24" ht="12.75" hidden="1" customHeight="1" x14ac:dyDescent="0.25">
      <c r="B115" s="348"/>
      <c r="C115" s="349"/>
      <c r="D115" s="351"/>
      <c r="E115" s="352"/>
      <c r="F115" s="352"/>
      <c r="G115" s="352"/>
      <c r="H115" s="352"/>
      <c r="I115" s="352"/>
      <c r="J115" s="352"/>
      <c r="K115" s="352"/>
      <c r="L115" s="352"/>
      <c r="M115" s="352"/>
      <c r="N115" s="352"/>
      <c r="O115" s="352"/>
      <c r="P115" s="352"/>
      <c r="Q115" s="352"/>
      <c r="R115" s="352"/>
      <c r="S115" s="352"/>
      <c r="T115" s="352"/>
      <c r="U115" s="352"/>
      <c r="V115" s="352"/>
      <c r="W115" s="352"/>
      <c r="X115" s="350"/>
    </row>
    <row r="116" spans="2:24" ht="12.75" hidden="1" customHeight="1" x14ac:dyDescent="0.25">
      <c r="B116" s="348"/>
      <c r="C116" s="349"/>
      <c r="D116" s="351"/>
      <c r="E116" s="352"/>
      <c r="F116" s="352"/>
      <c r="G116" s="352"/>
      <c r="H116" s="352"/>
      <c r="I116" s="352"/>
      <c r="J116" s="352"/>
      <c r="K116" s="352"/>
      <c r="L116" s="352"/>
      <c r="M116" s="352"/>
      <c r="N116" s="352"/>
      <c r="O116" s="352"/>
      <c r="P116" s="352"/>
      <c r="Q116" s="352"/>
      <c r="R116" s="352"/>
      <c r="S116" s="352"/>
      <c r="T116" s="352"/>
      <c r="U116" s="352"/>
      <c r="V116" s="352"/>
      <c r="W116" s="352"/>
      <c r="X116" s="350"/>
    </row>
    <row r="117" spans="2:24" ht="13.5" hidden="1" customHeight="1" x14ac:dyDescent="0.25">
      <c r="B117" s="348"/>
      <c r="C117" s="349"/>
      <c r="D117" s="351"/>
      <c r="E117" s="351"/>
      <c r="F117" s="351"/>
      <c r="G117" s="351"/>
      <c r="H117" s="351"/>
      <c r="I117" s="351"/>
      <c r="J117" s="352"/>
      <c r="K117" s="352"/>
      <c r="L117" s="352"/>
      <c r="M117" s="352"/>
      <c r="N117" s="352"/>
      <c r="O117" s="352"/>
      <c r="P117" s="352"/>
      <c r="Q117" s="352"/>
      <c r="R117" s="352"/>
      <c r="S117" s="352"/>
      <c r="T117" s="352"/>
      <c r="U117" s="352"/>
      <c r="V117" s="352"/>
      <c r="W117" s="352"/>
      <c r="X117" s="350"/>
    </row>
    <row r="118" spans="2:24" ht="13.5" customHeight="1" x14ac:dyDescent="0.25">
      <c r="B118" s="354" t="s">
        <v>180</v>
      </c>
      <c r="C118" s="355"/>
      <c r="D118" s="494">
        <f t="shared" ref="D118:W118" si="11">SUMPRODUCT($D$107:$W$107/$D$109:$W$109*($D$6:$W$6&lt;=D$6)*(D$6-$D$6:$W$6&lt;$D$109:$W$109))</f>
        <v>16340851239.669422</v>
      </c>
      <c r="E118" s="494">
        <f t="shared" si="11"/>
        <v>0</v>
      </c>
      <c r="F118" s="494">
        <f t="shared" si="11"/>
        <v>8256198347.1074381</v>
      </c>
      <c r="G118" s="494">
        <f t="shared" si="11"/>
        <v>13760330578.512398</v>
      </c>
      <c r="H118" s="494">
        <f t="shared" si="11"/>
        <v>6115702479.3388433</v>
      </c>
      <c r="I118" s="494">
        <f t="shared" si="11"/>
        <v>9785123966.9421482</v>
      </c>
      <c r="J118" s="494">
        <f t="shared" si="11"/>
        <v>14677685950.413223</v>
      </c>
      <c r="K118" s="494">
        <f t="shared" si="11"/>
        <v>14677685950.413223</v>
      </c>
      <c r="L118" s="494">
        <f t="shared" si="11"/>
        <v>9785123966.9421482</v>
      </c>
      <c r="M118" s="494">
        <f t="shared" si="11"/>
        <v>0</v>
      </c>
      <c r="N118" s="494">
        <f t="shared" si="11"/>
        <v>0</v>
      </c>
      <c r="O118" s="494">
        <f t="shared" si="11"/>
        <v>0</v>
      </c>
      <c r="P118" s="494">
        <f t="shared" si="11"/>
        <v>0</v>
      </c>
      <c r="Q118" s="494">
        <f t="shared" si="11"/>
        <v>0</v>
      </c>
      <c r="R118" s="494">
        <f t="shared" si="11"/>
        <v>0</v>
      </c>
      <c r="S118" s="494">
        <f t="shared" si="11"/>
        <v>0</v>
      </c>
      <c r="T118" s="494">
        <f t="shared" si="11"/>
        <v>0</v>
      </c>
      <c r="U118" s="494">
        <f t="shared" si="11"/>
        <v>0</v>
      </c>
      <c r="V118" s="494">
        <f t="shared" si="11"/>
        <v>0</v>
      </c>
      <c r="W118" s="494">
        <f t="shared" si="11"/>
        <v>0</v>
      </c>
      <c r="X118" s="356">
        <f>SUM(D118:W118)</f>
        <v>93398702479.338852</v>
      </c>
    </row>
    <row r="119" spans="2:24" ht="12.75" customHeight="1" x14ac:dyDescent="0.25">
      <c r="B119" s="348"/>
      <c r="C119" s="349"/>
      <c r="D119" s="351"/>
      <c r="E119" s="352"/>
      <c r="F119" s="352"/>
      <c r="G119" s="352"/>
      <c r="H119" s="352"/>
      <c r="I119" s="352"/>
      <c r="J119" s="352"/>
      <c r="K119" s="352"/>
      <c r="L119" s="352"/>
      <c r="M119" s="352"/>
      <c r="N119" s="352"/>
      <c r="O119" s="352"/>
      <c r="P119" s="352"/>
      <c r="Q119" s="352"/>
      <c r="R119" s="352"/>
      <c r="S119" s="352"/>
      <c r="T119" s="352"/>
      <c r="U119" s="352"/>
      <c r="V119" s="352"/>
      <c r="W119" s="352"/>
      <c r="X119" s="353"/>
    </row>
    <row r="120" spans="2:24" ht="12.75" customHeight="1" x14ac:dyDescent="0.25">
      <c r="B120" s="348" t="s">
        <v>181</v>
      </c>
      <c r="C120" s="349"/>
      <c r="D120" s="490">
        <f t="shared" ref="D120:W120" si="12">+D70</f>
        <v>0</v>
      </c>
      <c r="E120" s="490">
        <f t="shared" si="12"/>
        <v>5234135280.9917364</v>
      </c>
      <c r="F120" s="490">
        <f t="shared" si="12"/>
        <v>5234135280.9917364</v>
      </c>
      <c r="G120" s="490">
        <f t="shared" si="12"/>
        <v>5234135280.9917364</v>
      </c>
      <c r="H120" s="490">
        <f t="shared" si="12"/>
        <v>5234135280.9917364</v>
      </c>
      <c r="I120" s="490">
        <f t="shared" si="12"/>
        <v>5234135280.9917364</v>
      </c>
      <c r="J120" s="490">
        <f t="shared" si="12"/>
        <v>5234135280.9917364</v>
      </c>
      <c r="K120" s="490">
        <f t="shared" si="12"/>
        <v>5234135280.9917364</v>
      </c>
      <c r="L120" s="490">
        <f t="shared" si="12"/>
        <v>5234135280.9917364</v>
      </c>
      <c r="M120" s="490">
        <f t="shared" si="12"/>
        <v>5234135280.9917364</v>
      </c>
      <c r="N120" s="490">
        <f t="shared" si="12"/>
        <v>5234135280.9917364</v>
      </c>
      <c r="O120" s="490">
        <f t="shared" si="12"/>
        <v>5234135280.9917364</v>
      </c>
      <c r="P120" s="490">
        <f t="shared" si="12"/>
        <v>5234135280.9917364</v>
      </c>
      <c r="Q120" s="490">
        <f t="shared" si="12"/>
        <v>5234135280.9917364</v>
      </c>
      <c r="R120" s="490">
        <f t="shared" si="12"/>
        <v>5234135280.9917364</v>
      </c>
      <c r="S120" s="490">
        <f t="shared" si="12"/>
        <v>5234135280.9917364</v>
      </c>
      <c r="T120" s="490">
        <f t="shared" si="12"/>
        <v>5234135280.9917364</v>
      </c>
      <c r="U120" s="490">
        <f t="shared" si="12"/>
        <v>5234135280.9917364</v>
      </c>
      <c r="V120" s="490">
        <f t="shared" si="12"/>
        <v>5234135280.9917364</v>
      </c>
      <c r="W120" s="490">
        <f t="shared" si="12"/>
        <v>5234135280.9917364</v>
      </c>
      <c r="X120" s="350">
        <f>SUM(D120:W120)</f>
        <v>99448570338.842957</v>
      </c>
    </row>
    <row r="121" spans="2:24" ht="12.75" customHeight="1" x14ac:dyDescent="0.25">
      <c r="B121" s="348"/>
      <c r="C121" s="349"/>
      <c r="D121" s="351"/>
      <c r="E121" s="352"/>
      <c r="F121" s="352"/>
      <c r="G121" s="352"/>
      <c r="H121" s="352"/>
      <c r="I121" s="352"/>
      <c r="J121" s="352"/>
      <c r="K121" s="352"/>
      <c r="L121" s="352"/>
      <c r="M121" s="352"/>
      <c r="N121" s="352"/>
      <c r="O121" s="352"/>
      <c r="P121" s="352"/>
      <c r="Q121" s="352"/>
      <c r="R121" s="352"/>
      <c r="S121" s="352"/>
      <c r="T121" s="352"/>
      <c r="U121" s="352"/>
      <c r="V121" s="352"/>
      <c r="W121" s="352"/>
      <c r="X121" s="353"/>
    </row>
    <row r="122" spans="2:24" ht="12.75" customHeight="1" x14ac:dyDescent="0.25">
      <c r="B122" s="348" t="s">
        <v>178</v>
      </c>
      <c r="C122" s="349"/>
      <c r="D122" s="491">
        <f>1</f>
        <v>1</v>
      </c>
      <c r="E122" s="491">
        <f>1</f>
        <v>1</v>
      </c>
      <c r="F122" s="491">
        <f>1</f>
        <v>1</v>
      </c>
      <c r="G122" s="491">
        <f>1</f>
        <v>1</v>
      </c>
      <c r="H122" s="491">
        <f>1</f>
        <v>1</v>
      </c>
      <c r="I122" s="491">
        <f>1</f>
        <v>1</v>
      </c>
      <c r="J122" s="491">
        <f>1</f>
        <v>1</v>
      </c>
      <c r="K122" s="491">
        <f>1</f>
        <v>1</v>
      </c>
      <c r="L122" s="491">
        <f>1</f>
        <v>1</v>
      </c>
      <c r="M122" s="491">
        <f>1</f>
        <v>1</v>
      </c>
      <c r="N122" s="491">
        <f>1</f>
        <v>1</v>
      </c>
      <c r="O122" s="491">
        <f>1</f>
        <v>1</v>
      </c>
      <c r="P122" s="491">
        <f>1</f>
        <v>1</v>
      </c>
      <c r="Q122" s="491">
        <f>1</f>
        <v>1</v>
      </c>
      <c r="R122" s="491">
        <f>1</f>
        <v>1</v>
      </c>
      <c r="S122" s="491">
        <f>1</f>
        <v>1</v>
      </c>
      <c r="T122" s="491">
        <f>1</f>
        <v>1</v>
      </c>
      <c r="U122" s="491">
        <f>1</f>
        <v>1</v>
      </c>
      <c r="V122" s="491">
        <f>1</f>
        <v>1</v>
      </c>
      <c r="W122" s="491">
        <f>1</f>
        <v>1</v>
      </c>
      <c r="X122" s="353"/>
    </row>
    <row r="123" spans="2:24" ht="12.75" hidden="1" customHeight="1" x14ac:dyDescent="0.25">
      <c r="B123" s="348"/>
      <c r="C123" s="349"/>
      <c r="D123" s="351"/>
      <c r="E123" s="352"/>
      <c r="F123" s="352"/>
      <c r="G123" s="352"/>
      <c r="H123" s="352"/>
      <c r="I123" s="352"/>
      <c r="J123" s="352"/>
      <c r="K123" s="352"/>
      <c r="L123" s="352"/>
      <c r="M123" s="352"/>
      <c r="N123" s="352"/>
      <c r="O123" s="352"/>
      <c r="P123" s="352"/>
      <c r="Q123" s="352"/>
      <c r="R123" s="352"/>
      <c r="S123" s="352"/>
      <c r="T123" s="352"/>
      <c r="U123" s="352"/>
      <c r="V123" s="352"/>
      <c r="W123" s="352"/>
      <c r="X123" s="353"/>
    </row>
    <row r="124" spans="2:24" ht="12.75" hidden="1" customHeight="1" x14ac:dyDescent="0.25">
      <c r="B124" s="493" t="s">
        <v>179</v>
      </c>
      <c r="C124" s="349"/>
      <c r="D124" s="351"/>
      <c r="E124" s="352"/>
      <c r="F124" s="352"/>
      <c r="G124" s="352"/>
      <c r="H124" s="352"/>
      <c r="I124" s="352"/>
      <c r="J124" s="352"/>
      <c r="K124" s="352"/>
      <c r="L124" s="352"/>
      <c r="M124" s="352"/>
      <c r="N124" s="352"/>
      <c r="O124" s="352"/>
      <c r="P124" s="352"/>
      <c r="Q124" s="352"/>
      <c r="R124" s="352"/>
      <c r="S124" s="352"/>
      <c r="T124" s="352"/>
      <c r="U124" s="352"/>
      <c r="V124" s="352"/>
      <c r="W124" s="352"/>
      <c r="X124" s="353"/>
    </row>
    <row r="125" spans="2:24" ht="12.75" hidden="1" customHeight="1" x14ac:dyDescent="0.25">
      <c r="B125" s="348"/>
      <c r="C125" s="349"/>
      <c r="D125" s="351"/>
      <c r="E125" s="352"/>
      <c r="F125" s="352"/>
      <c r="G125" s="352"/>
      <c r="H125" s="352"/>
      <c r="I125" s="352"/>
      <c r="J125" s="352"/>
      <c r="K125" s="352"/>
      <c r="L125" s="352"/>
      <c r="M125" s="352"/>
      <c r="N125" s="352"/>
      <c r="O125" s="352"/>
      <c r="P125" s="352"/>
      <c r="Q125" s="352"/>
      <c r="R125" s="352"/>
      <c r="S125" s="352"/>
      <c r="T125" s="352"/>
      <c r="U125" s="352"/>
      <c r="V125" s="352"/>
      <c r="W125" s="352"/>
      <c r="X125" s="353"/>
    </row>
    <row r="126" spans="2:24" ht="12.75" hidden="1" customHeight="1" x14ac:dyDescent="0.25">
      <c r="B126" s="348"/>
      <c r="C126" s="349"/>
      <c r="D126" s="351"/>
      <c r="E126" s="352"/>
      <c r="F126" s="352"/>
      <c r="G126" s="352"/>
      <c r="H126" s="352"/>
      <c r="I126" s="352"/>
      <c r="J126" s="352"/>
      <c r="K126" s="352"/>
      <c r="L126" s="352"/>
      <c r="M126" s="352"/>
      <c r="N126" s="352"/>
      <c r="O126" s="352"/>
      <c r="P126" s="352"/>
      <c r="Q126" s="352"/>
      <c r="R126" s="352"/>
      <c r="S126" s="352"/>
      <c r="T126" s="352"/>
      <c r="U126" s="352"/>
      <c r="V126" s="352"/>
      <c r="W126" s="352"/>
      <c r="X126" s="353"/>
    </row>
    <row r="127" spans="2:24" ht="12.75" hidden="1" customHeight="1" x14ac:dyDescent="0.25">
      <c r="B127" s="348"/>
      <c r="C127" s="349"/>
      <c r="D127" s="351"/>
      <c r="E127" s="352"/>
      <c r="F127" s="352"/>
      <c r="G127" s="352"/>
      <c r="H127" s="352"/>
      <c r="I127" s="352"/>
      <c r="J127" s="352"/>
      <c r="K127" s="352"/>
      <c r="L127" s="352"/>
      <c r="M127" s="352"/>
      <c r="N127" s="352"/>
      <c r="O127" s="352"/>
      <c r="P127" s="352"/>
      <c r="Q127" s="352"/>
      <c r="R127" s="352"/>
      <c r="S127" s="352"/>
      <c r="T127" s="352"/>
      <c r="U127" s="352"/>
      <c r="V127" s="352"/>
      <c r="W127" s="352"/>
      <c r="X127" s="353"/>
    </row>
    <row r="128" spans="2:24" ht="12.75" hidden="1" customHeight="1" x14ac:dyDescent="0.25">
      <c r="B128" s="348"/>
      <c r="C128" s="349"/>
      <c r="D128" s="351"/>
      <c r="E128" s="352"/>
      <c r="F128" s="352"/>
      <c r="G128" s="352"/>
      <c r="H128" s="352"/>
      <c r="I128" s="352"/>
      <c r="J128" s="352"/>
      <c r="K128" s="352"/>
      <c r="L128" s="352"/>
      <c r="M128" s="352"/>
      <c r="N128" s="352"/>
      <c r="O128" s="352"/>
      <c r="P128" s="352"/>
      <c r="Q128" s="352"/>
      <c r="R128" s="352"/>
      <c r="S128" s="352"/>
      <c r="T128" s="352"/>
      <c r="U128" s="352"/>
      <c r="V128" s="352"/>
      <c r="W128" s="352"/>
      <c r="X128" s="353"/>
    </row>
    <row r="129" spans="2:24" ht="12.75" hidden="1" customHeight="1" x14ac:dyDescent="0.25">
      <c r="B129" s="348"/>
      <c r="C129" s="349"/>
      <c r="D129" s="351"/>
      <c r="E129" s="352"/>
      <c r="F129" s="352"/>
      <c r="G129" s="352"/>
      <c r="H129" s="352"/>
      <c r="I129" s="352"/>
      <c r="J129" s="352"/>
      <c r="K129" s="352"/>
      <c r="L129" s="352"/>
      <c r="M129" s="352"/>
      <c r="N129" s="352"/>
      <c r="O129" s="352"/>
      <c r="P129" s="352"/>
      <c r="Q129" s="352"/>
      <c r="R129" s="352"/>
      <c r="S129" s="352"/>
      <c r="T129" s="352"/>
      <c r="U129" s="352"/>
      <c r="V129" s="352"/>
      <c r="W129" s="352"/>
      <c r="X129" s="353"/>
    </row>
    <row r="130" spans="2:24" ht="12.75" hidden="1" customHeight="1" x14ac:dyDescent="0.25">
      <c r="B130" s="348"/>
      <c r="C130" s="349"/>
      <c r="D130" s="351"/>
      <c r="E130" s="352"/>
      <c r="F130" s="352"/>
      <c r="G130" s="352"/>
      <c r="H130" s="352"/>
      <c r="I130" s="352"/>
      <c r="J130" s="352"/>
      <c r="K130" s="352"/>
      <c r="L130" s="352"/>
      <c r="M130" s="352"/>
      <c r="N130" s="352"/>
      <c r="O130" s="352"/>
      <c r="P130" s="352"/>
      <c r="Q130" s="352"/>
      <c r="R130" s="352"/>
      <c r="S130" s="352"/>
      <c r="T130" s="352"/>
      <c r="U130" s="352"/>
      <c r="V130" s="352"/>
      <c r="W130" s="352"/>
      <c r="X130" s="353"/>
    </row>
    <row r="131" spans="2:24" ht="12.75" hidden="1" customHeight="1" x14ac:dyDescent="0.25">
      <c r="B131" s="348"/>
      <c r="C131" s="349"/>
      <c r="D131" s="351"/>
      <c r="E131" s="352"/>
      <c r="F131" s="352"/>
      <c r="G131" s="352"/>
      <c r="H131" s="352"/>
      <c r="I131" s="352"/>
      <c r="J131" s="352"/>
      <c r="K131" s="352"/>
      <c r="L131" s="352"/>
      <c r="M131" s="352"/>
      <c r="N131" s="352"/>
      <c r="O131" s="352"/>
      <c r="P131" s="352"/>
      <c r="Q131" s="352"/>
      <c r="R131" s="352"/>
      <c r="S131" s="352"/>
      <c r="T131" s="352"/>
      <c r="U131" s="352"/>
      <c r="V131" s="352"/>
      <c r="W131" s="352"/>
      <c r="X131" s="353"/>
    </row>
    <row r="132" spans="2:24" ht="12.75" hidden="1" customHeight="1" x14ac:dyDescent="0.25">
      <c r="B132" s="348"/>
      <c r="C132" s="349"/>
      <c r="D132" s="351"/>
      <c r="E132" s="352"/>
      <c r="F132" s="352"/>
      <c r="G132" s="352"/>
      <c r="H132" s="352"/>
      <c r="I132" s="352"/>
      <c r="J132" s="352"/>
      <c r="K132" s="352"/>
      <c r="L132" s="352"/>
      <c r="M132" s="352"/>
      <c r="N132" s="352"/>
      <c r="O132" s="352"/>
      <c r="P132" s="352"/>
      <c r="Q132" s="352"/>
      <c r="R132" s="352"/>
      <c r="S132" s="352"/>
      <c r="T132" s="352"/>
      <c r="U132" s="352"/>
      <c r="V132" s="352"/>
      <c r="W132" s="352"/>
      <c r="X132" s="353"/>
    </row>
    <row r="133" spans="2:24" ht="12.75" hidden="1" customHeight="1" x14ac:dyDescent="0.25">
      <c r="B133" s="348"/>
      <c r="C133" s="349"/>
      <c r="D133" s="351"/>
      <c r="E133" s="352"/>
      <c r="F133" s="352"/>
      <c r="G133" s="352"/>
      <c r="H133" s="352"/>
      <c r="I133" s="352"/>
      <c r="J133" s="352"/>
      <c r="K133" s="352"/>
      <c r="L133" s="352"/>
      <c r="M133" s="352"/>
      <c r="N133" s="352"/>
      <c r="O133" s="352"/>
      <c r="P133" s="352"/>
      <c r="Q133" s="352"/>
      <c r="R133" s="352"/>
      <c r="S133" s="352"/>
      <c r="T133" s="352"/>
      <c r="U133" s="352"/>
      <c r="V133" s="352"/>
      <c r="W133" s="352"/>
      <c r="X133" s="353"/>
    </row>
    <row r="134" spans="2:24" ht="12.75" hidden="1" customHeight="1" x14ac:dyDescent="0.25">
      <c r="B134" s="348"/>
      <c r="C134" s="349"/>
      <c r="D134" s="351"/>
      <c r="E134" s="352"/>
      <c r="F134" s="352"/>
      <c r="G134" s="352"/>
      <c r="H134" s="352"/>
      <c r="I134" s="352"/>
      <c r="J134" s="352"/>
      <c r="K134" s="352"/>
      <c r="L134" s="352"/>
      <c r="M134" s="352"/>
      <c r="N134" s="352"/>
      <c r="O134" s="352"/>
      <c r="P134" s="352"/>
      <c r="Q134" s="352"/>
      <c r="R134" s="352"/>
      <c r="S134" s="352"/>
      <c r="T134" s="352"/>
      <c r="U134" s="352"/>
      <c r="V134" s="352"/>
      <c r="W134" s="352"/>
      <c r="X134" s="353"/>
    </row>
    <row r="135" spans="2:24" ht="12.75" hidden="1" customHeight="1" x14ac:dyDescent="0.25">
      <c r="B135" s="348"/>
      <c r="C135" s="349"/>
      <c r="D135" s="351"/>
      <c r="E135" s="352"/>
      <c r="F135" s="352"/>
      <c r="G135" s="352"/>
      <c r="H135" s="352"/>
      <c r="I135" s="352"/>
      <c r="J135" s="352"/>
      <c r="K135" s="352"/>
      <c r="L135" s="352"/>
      <c r="M135" s="352"/>
      <c r="N135" s="352"/>
      <c r="O135" s="352"/>
      <c r="P135" s="352"/>
      <c r="Q135" s="352"/>
      <c r="R135" s="352"/>
      <c r="S135" s="352"/>
      <c r="T135" s="352"/>
      <c r="U135" s="352"/>
      <c r="V135" s="352"/>
      <c r="W135" s="352"/>
      <c r="X135" s="353"/>
    </row>
    <row r="136" spans="2:24" ht="12.75" hidden="1" customHeight="1" x14ac:dyDescent="0.25">
      <c r="B136" s="348"/>
      <c r="C136" s="349"/>
      <c r="D136" s="351"/>
      <c r="E136" s="352"/>
      <c r="F136" s="352"/>
      <c r="G136" s="352"/>
      <c r="H136" s="352"/>
      <c r="I136" s="352"/>
      <c r="J136" s="352"/>
      <c r="K136" s="352"/>
      <c r="L136" s="352"/>
      <c r="M136" s="352"/>
      <c r="N136" s="352"/>
      <c r="O136" s="352"/>
      <c r="P136" s="352"/>
      <c r="Q136" s="352"/>
      <c r="R136" s="352"/>
      <c r="S136" s="352"/>
      <c r="T136" s="352"/>
      <c r="U136" s="352"/>
      <c r="V136" s="352"/>
      <c r="W136" s="352"/>
      <c r="X136" s="353"/>
    </row>
    <row r="137" spans="2:24" ht="12.75" hidden="1" customHeight="1" x14ac:dyDescent="0.25">
      <c r="B137" s="348"/>
      <c r="C137" s="349"/>
      <c r="D137" s="351"/>
      <c r="E137" s="352"/>
      <c r="F137" s="352"/>
      <c r="G137" s="352"/>
      <c r="H137" s="352"/>
      <c r="I137" s="352"/>
      <c r="J137" s="352"/>
      <c r="K137" s="352"/>
      <c r="L137" s="352"/>
      <c r="M137" s="352"/>
      <c r="N137" s="352"/>
      <c r="O137" s="352"/>
      <c r="P137" s="352"/>
      <c r="Q137" s="352"/>
      <c r="R137" s="352"/>
      <c r="S137" s="352"/>
      <c r="T137" s="352"/>
      <c r="U137" s="352"/>
      <c r="V137" s="352"/>
      <c r="W137" s="352"/>
      <c r="X137" s="353"/>
    </row>
    <row r="138" spans="2:24" ht="12.75" hidden="1" customHeight="1" x14ac:dyDescent="0.25">
      <c r="B138" s="348"/>
      <c r="C138" s="349"/>
      <c r="D138" s="351"/>
      <c r="E138" s="352"/>
      <c r="F138" s="352"/>
      <c r="G138" s="352"/>
      <c r="H138" s="352"/>
      <c r="I138" s="352"/>
      <c r="J138" s="352"/>
      <c r="K138" s="352"/>
      <c r="L138" s="352"/>
      <c r="M138" s="352"/>
      <c r="N138" s="352"/>
      <c r="O138" s="352"/>
      <c r="P138" s="352"/>
      <c r="Q138" s="352"/>
      <c r="R138" s="352"/>
      <c r="S138" s="352"/>
      <c r="T138" s="352"/>
      <c r="U138" s="352"/>
      <c r="V138" s="352"/>
      <c r="W138" s="352"/>
      <c r="X138" s="353"/>
    </row>
    <row r="139" spans="2:24" ht="12.75" hidden="1" customHeight="1" x14ac:dyDescent="0.25">
      <c r="B139" s="348"/>
      <c r="C139" s="349"/>
      <c r="D139" s="351"/>
      <c r="E139" s="352"/>
      <c r="F139" s="352"/>
      <c r="G139" s="352"/>
      <c r="H139" s="352"/>
      <c r="I139" s="352"/>
      <c r="J139" s="352"/>
      <c r="K139" s="352"/>
      <c r="L139" s="352"/>
      <c r="M139" s="352"/>
      <c r="N139" s="352"/>
      <c r="O139" s="352"/>
      <c r="P139" s="352"/>
      <c r="Q139" s="352"/>
      <c r="R139" s="352"/>
      <c r="S139" s="352"/>
      <c r="T139" s="352"/>
      <c r="U139" s="352"/>
      <c r="V139" s="352"/>
      <c r="W139" s="352"/>
      <c r="X139" s="353"/>
    </row>
    <row r="140" spans="2:24" ht="12.75" hidden="1" customHeight="1" x14ac:dyDescent="0.25">
      <c r="B140" s="348"/>
      <c r="C140" s="349"/>
      <c r="D140" s="351"/>
      <c r="E140" s="352"/>
      <c r="F140" s="352"/>
      <c r="G140" s="352"/>
      <c r="H140" s="352"/>
      <c r="I140" s="352"/>
      <c r="J140" s="352"/>
      <c r="K140" s="352"/>
      <c r="L140" s="352"/>
      <c r="M140" s="352"/>
      <c r="N140" s="352"/>
      <c r="O140" s="352"/>
      <c r="P140" s="352"/>
      <c r="Q140" s="352"/>
      <c r="R140" s="352"/>
      <c r="S140" s="352"/>
      <c r="T140" s="352"/>
      <c r="U140" s="352"/>
      <c r="V140" s="352"/>
      <c r="W140" s="352"/>
      <c r="X140" s="353"/>
    </row>
    <row r="141" spans="2:24" ht="12.75" hidden="1" customHeight="1" x14ac:dyDescent="0.25">
      <c r="B141" s="348"/>
      <c r="C141" s="349"/>
      <c r="D141" s="351"/>
      <c r="E141" s="352"/>
      <c r="F141" s="352"/>
      <c r="G141" s="352"/>
      <c r="H141" s="352"/>
      <c r="I141" s="352"/>
      <c r="J141" s="352"/>
      <c r="K141" s="352"/>
      <c r="L141" s="352"/>
      <c r="M141" s="352"/>
      <c r="N141" s="352"/>
      <c r="O141" s="352"/>
      <c r="P141" s="352"/>
      <c r="Q141" s="352"/>
      <c r="R141" s="352"/>
      <c r="S141" s="352"/>
      <c r="T141" s="352"/>
      <c r="U141" s="352"/>
      <c r="V141" s="352"/>
      <c r="W141" s="352"/>
      <c r="X141" s="353"/>
    </row>
    <row r="142" spans="2:24" ht="12.75" hidden="1" customHeight="1" x14ac:dyDescent="0.25">
      <c r="B142" s="348"/>
      <c r="C142" s="349"/>
      <c r="D142" s="351"/>
      <c r="E142" s="352"/>
      <c r="F142" s="352"/>
      <c r="G142" s="352"/>
      <c r="H142" s="352"/>
      <c r="I142" s="352"/>
      <c r="J142" s="352"/>
      <c r="K142" s="352"/>
      <c r="L142" s="352"/>
      <c r="M142" s="352"/>
      <c r="N142" s="352"/>
      <c r="O142" s="352"/>
      <c r="P142" s="352"/>
      <c r="Q142" s="352"/>
      <c r="R142" s="352"/>
      <c r="S142" s="352"/>
      <c r="T142" s="352"/>
      <c r="U142" s="352"/>
      <c r="V142" s="352"/>
      <c r="W142" s="352"/>
      <c r="X142" s="353"/>
    </row>
    <row r="143" spans="2:24" ht="12.75" hidden="1" customHeight="1" x14ac:dyDescent="0.25">
      <c r="B143" s="348"/>
      <c r="C143" s="349"/>
      <c r="D143" s="351"/>
      <c r="E143" s="352"/>
      <c r="F143" s="352"/>
      <c r="G143" s="352"/>
      <c r="H143" s="352"/>
      <c r="I143" s="352"/>
      <c r="J143" s="352"/>
      <c r="K143" s="352"/>
      <c r="L143" s="352"/>
      <c r="M143" s="352"/>
      <c r="N143" s="352"/>
      <c r="O143" s="352"/>
      <c r="P143" s="352"/>
      <c r="Q143" s="352"/>
      <c r="R143" s="352"/>
      <c r="S143" s="352"/>
      <c r="T143" s="352"/>
      <c r="U143" s="352"/>
      <c r="V143" s="352"/>
      <c r="W143" s="352"/>
      <c r="X143" s="353"/>
    </row>
    <row r="144" spans="2:24" ht="13.5" customHeight="1" x14ac:dyDescent="0.25">
      <c r="B144" s="348"/>
      <c r="C144" s="349"/>
      <c r="D144" s="351"/>
      <c r="E144" s="352"/>
      <c r="F144" s="352"/>
      <c r="G144" s="352"/>
      <c r="H144" s="352"/>
      <c r="I144" s="352"/>
      <c r="J144" s="352"/>
      <c r="K144" s="352"/>
      <c r="L144" s="352"/>
      <c r="M144" s="352"/>
      <c r="N144" s="352"/>
      <c r="O144" s="352"/>
      <c r="P144" s="352"/>
      <c r="Q144" s="352"/>
      <c r="R144" s="352"/>
      <c r="S144" s="352"/>
      <c r="T144" s="352"/>
      <c r="U144" s="352"/>
      <c r="V144" s="352"/>
      <c r="W144" s="352"/>
      <c r="X144" s="353"/>
    </row>
    <row r="145" spans="2:24" ht="13.5" customHeight="1" x14ac:dyDescent="0.25">
      <c r="B145" s="354" t="s">
        <v>182</v>
      </c>
      <c r="C145" s="355"/>
      <c r="D145" s="494">
        <f t="shared" ref="D145:W145" si="13">SUMPRODUCT($D$120:$W$120/$D$122:$W$122*($D$6:$W$6&lt;=D$6)*(D$6-$D$6:$W$6&lt;$D$122:$W$122))</f>
        <v>0</v>
      </c>
      <c r="E145" s="494">
        <f t="shared" si="13"/>
        <v>5234135280.9917364</v>
      </c>
      <c r="F145" s="494">
        <f t="shared" si="13"/>
        <v>5234135280.9917364</v>
      </c>
      <c r="G145" s="494">
        <f t="shared" si="13"/>
        <v>5234135280.9917364</v>
      </c>
      <c r="H145" s="494">
        <f t="shared" si="13"/>
        <v>5234135280.9917364</v>
      </c>
      <c r="I145" s="494">
        <f t="shared" si="13"/>
        <v>5234135280.9917364</v>
      </c>
      <c r="J145" s="494">
        <f t="shared" si="13"/>
        <v>5234135280.9917364</v>
      </c>
      <c r="K145" s="494">
        <f t="shared" si="13"/>
        <v>5234135280.9917364</v>
      </c>
      <c r="L145" s="494">
        <f t="shared" si="13"/>
        <v>5234135280.9917364</v>
      </c>
      <c r="M145" s="494">
        <f t="shared" si="13"/>
        <v>5234135280.9917364</v>
      </c>
      <c r="N145" s="494">
        <f t="shared" si="13"/>
        <v>5234135280.9917364</v>
      </c>
      <c r="O145" s="494">
        <f t="shared" si="13"/>
        <v>5234135280.9917364</v>
      </c>
      <c r="P145" s="494">
        <f t="shared" si="13"/>
        <v>5234135280.9917364</v>
      </c>
      <c r="Q145" s="494">
        <f t="shared" si="13"/>
        <v>5234135280.9917364</v>
      </c>
      <c r="R145" s="494">
        <f t="shared" si="13"/>
        <v>5234135280.9917364</v>
      </c>
      <c r="S145" s="494">
        <f t="shared" si="13"/>
        <v>5234135280.9917364</v>
      </c>
      <c r="T145" s="494">
        <f t="shared" si="13"/>
        <v>5234135280.9917364</v>
      </c>
      <c r="U145" s="494">
        <f t="shared" si="13"/>
        <v>5234135280.9917364</v>
      </c>
      <c r="V145" s="494">
        <f t="shared" si="13"/>
        <v>5234135280.9917364</v>
      </c>
      <c r="W145" s="494">
        <f t="shared" si="13"/>
        <v>5234135280.9917364</v>
      </c>
      <c r="X145" s="356">
        <f>SUM(D145:W145)</f>
        <v>99448570338.842957</v>
      </c>
    </row>
    <row r="146" spans="2:24" ht="12.75" customHeight="1" x14ac:dyDescent="0.25">
      <c r="B146" s="348"/>
      <c r="C146" s="349"/>
      <c r="D146" s="351"/>
      <c r="E146" s="352"/>
      <c r="F146" s="352"/>
      <c r="G146" s="352"/>
      <c r="H146" s="352"/>
      <c r="I146" s="352"/>
      <c r="J146" s="352"/>
      <c r="K146" s="352"/>
      <c r="L146" s="352"/>
      <c r="M146" s="352"/>
      <c r="N146" s="352"/>
      <c r="O146" s="352"/>
      <c r="P146" s="352"/>
      <c r="Q146" s="352"/>
      <c r="R146" s="352"/>
      <c r="S146" s="352"/>
      <c r="T146" s="352"/>
      <c r="U146" s="352"/>
      <c r="V146" s="352"/>
      <c r="W146" s="352"/>
      <c r="X146" s="353"/>
    </row>
    <row r="147" spans="2:24" ht="13.5" customHeight="1" x14ac:dyDescent="0.25">
      <c r="B147" s="348"/>
      <c r="C147" s="349"/>
      <c r="D147" s="351"/>
      <c r="E147" s="352"/>
      <c r="F147" s="352"/>
      <c r="G147" s="352"/>
      <c r="H147" s="352"/>
      <c r="I147" s="352"/>
      <c r="J147" s="352"/>
      <c r="K147" s="352"/>
      <c r="L147" s="352"/>
      <c r="M147" s="352"/>
      <c r="N147" s="352"/>
      <c r="O147" s="352"/>
      <c r="P147" s="352"/>
      <c r="Q147" s="352"/>
      <c r="R147" s="352"/>
      <c r="S147" s="352"/>
      <c r="T147" s="352"/>
      <c r="U147" s="352"/>
      <c r="V147" s="352"/>
      <c r="W147" s="352"/>
      <c r="X147" s="353"/>
    </row>
    <row r="148" spans="2:24" ht="13.5" customHeight="1" x14ac:dyDescent="0.25">
      <c r="B148" s="357" t="s">
        <v>183</v>
      </c>
      <c r="C148" s="355"/>
      <c r="D148" s="358">
        <f t="shared" ref="D148:W148" si="14">+D118+D145</f>
        <v>16340851239.669422</v>
      </c>
      <c r="E148" s="358">
        <f t="shared" si="14"/>
        <v>5234135280.9917364</v>
      </c>
      <c r="F148" s="358">
        <f t="shared" si="14"/>
        <v>13490333628.099174</v>
      </c>
      <c r="G148" s="358">
        <f t="shared" si="14"/>
        <v>18994465859.504135</v>
      </c>
      <c r="H148" s="358">
        <f t="shared" si="14"/>
        <v>11349837760.33058</v>
      </c>
      <c r="I148" s="358">
        <f t="shared" si="14"/>
        <v>15019259247.933884</v>
      </c>
      <c r="J148" s="358">
        <f t="shared" si="14"/>
        <v>19911821231.404961</v>
      </c>
      <c r="K148" s="358">
        <f t="shared" si="14"/>
        <v>19911821231.404961</v>
      </c>
      <c r="L148" s="358">
        <f t="shared" si="14"/>
        <v>15019259247.933884</v>
      </c>
      <c r="M148" s="358">
        <f t="shared" si="14"/>
        <v>5234135280.9917364</v>
      </c>
      <c r="N148" s="358">
        <f t="shared" si="14"/>
        <v>5234135280.9917364</v>
      </c>
      <c r="O148" s="358">
        <f t="shared" si="14"/>
        <v>5234135280.9917364</v>
      </c>
      <c r="P148" s="358">
        <f t="shared" si="14"/>
        <v>5234135280.9917364</v>
      </c>
      <c r="Q148" s="358">
        <f t="shared" si="14"/>
        <v>5234135280.9917364</v>
      </c>
      <c r="R148" s="358">
        <f t="shared" si="14"/>
        <v>5234135280.9917364</v>
      </c>
      <c r="S148" s="358">
        <f t="shared" si="14"/>
        <v>5234135280.9917364</v>
      </c>
      <c r="T148" s="358">
        <f t="shared" si="14"/>
        <v>5234135280.9917364</v>
      </c>
      <c r="U148" s="358">
        <f t="shared" si="14"/>
        <v>5234135280.9917364</v>
      </c>
      <c r="V148" s="358">
        <f t="shared" si="14"/>
        <v>5234135280.9917364</v>
      </c>
      <c r="W148" s="358">
        <f t="shared" si="14"/>
        <v>5234135280.9917364</v>
      </c>
      <c r="X148" s="359">
        <f>SUM(D148:W148)</f>
        <v>192847272818.18179</v>
      </c>
    </row>
    <row r="149" spans="2:24" ht="13.5" customHeight="1" x14ac:dyDescent="0.25">
      <c r="B149" s="348"/>
      <c r="C149" s="349"/>
      <c r="D149" s="351"/>
      <c r="E149" s="352"/>
      <c r="F149" s="352"/>
      <c r="G149" s="352"/>
      <c r="H149" s="352"/>
      <c r="I149" s="352"/>
      <c r="J149" s="352"/>
      <c r="K149" s="352"/>
      <c r="L149" s="352"/>
      <c r="M149" s="352"/>
      <c r="N149" s="352"/>
      <c r="O149" s="352"/>
      <c r="P149" s="352"/>
      <c r="Q149" s="352"/>
      <c r="R149" s="352"/>
      <c r="S149" s="352"/>
      <c r="T149" s="352"/>
      <c r="U149" s="352"/>
      <c r="V149" s="352"/>
      <c r="W149" s="352"/>
      <c r="X149" s="353"/>
    </row>
    <row r="150" spans="2:24" ht="13.5" customHeight="1" x14ac:dyDescent="0.25">
      <c r="B150" s="354" t="s">
        <v>184</v>
      </c>
      <c r="C150" s="355"/>
      <c r="D150" s="360">
        <f t="shared" ref="D150:W150" si="15">D148+C150</f>
        <v>16340851239.669422</v>
      </c>
      <c r="E150" s="360">
        <f t="shared" si="15"/>
        <v>21574986520.66116</v>
      </c>
      <c r="F150" s="360">
        <f t="shared" si="15"/>
        <v>35065320148.76033</v>
      </c>
      <c r="G150" s="360">
        <f t="shared" si="15"/>
        <v>54059786008.264465</v>
      </c>
      <c r="H150" s="360">
        <f t="shared" si="15"/>
        <v>65409623768.595047</v>
      </c>
      <c r="I150" s="360">
        <f t="shared" si="15"/>
        <v>80428883016.528931</v>
      </c>
      <c r="J150" s="360">
        <f t="shared" si="15"/>
        <v>100340704247.9339</v>
      </c>
      <c r="K150" s="360">
        <f t="shared" si="15"/>
        <v>120252525479.33887</v>
      </c>
      <c r="L150" s="360">
        <f t="shared" si="15"/>
        <v>135271784727.27275</v>
      </c>
      <c r="M150" s="360">
        <f t="shared" si="15"/>
        <v>140505920008.2645</v>
      </c>
      <c r="N150" s="360">
        <f t="shared" si="15"/>
        <v>145740055289.25623</v>
      </c>
      <c r="O150" s="360">
        <f t="shared" si="15"/>
        <v>150974190570.24796</v>
      </c>
      <c r="P150" s="360">
        <f t="shared" si="15"/>
        <v>156208325851.23969</v>
      </c>
      <c r="Q150" s="360">
        <f t="shared" si="15"/>
        <v>161442461132.23141</v>
      </c>
      <c r="R150" s="360">
        <f t="shared" si="15"/>
        <v>166676596413.22314</v>
      </c>
      <c r="S150" s="360">
        <f t="shared" si="15"/>
        <v>171910731694.21487</v>
      </c>
      <c r="T150" s="360">
        <f t="shared" si="15"/>
        <v>177144866975.2066</v>
      </c>
      <c r="U150" s="360">
        <f t="shared" si="15"/>
        <v>182379002256.19833</v>
      </c>
      <c r="V150" s="360">
        <f t="shared" si="15"/>
        <v>187613137537.19006</v>
      </c>
      <c r="W150" s="360">
        <f t="shared" si="15"/>
        <v>192847272818.18179</v>
      </c>
      <c r="X150" s="356"/>
    </row>
  </sheetData>
  <mergeCells count="3">
    <mergeCell ref="B3:X3"/>
    <mergeCell ref="B103:X103"/>
    <mergeCell ref="B53:X53"/>
  </mergeCell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C30"/>
  <sheetViews>
    <sheetView showGridLines="0" topLeftCell="N7" zoomScale="90" zoomScaleNormal="90" workbookViewId="0">
      <selection activeCell="B25" sqref="B25:U25"/>
    </sheetView>
  </sheetViews>
  <sheetFormatPr defaultColWidth="11.44140625" defaultRowHeight="14.4" x14ac:dyDescent="0.3"/>
  <cols>
    <col min="1" max="1" width="48.5546875" customWidth="1"/>
    <col min="2" max="2" width="16.109375" customWidth="1"/>
    <col min="3" max="21" width="15.5546875" customWidth="1"/>
    <col min="22" max="22" width="17.33203125" customWidth="1"/>
    <col min="23" max="23" width="16" customWidth="1"/>
    <col min="24" max="24" width="14.88671875" customWidth="1"/>
    <col min="26" max="26" width="14.44140625" customWidth="1"/>
    <col min="27" max="27" width="11.88671875" customWidth="1"/>
    <col min="29" max="29" width="13.44140625" customWidth="1"/>
    <col min="257" max="257" width="48.5546875" customWidth="1"/>
    <col min="258" max="258" width="16.109375" customWidth="1"/>
    <col min="259" max="277" width="15.5546875" customWidth="1"/>
    <col min="278" max="278" width="17.33203125" customWidth="1"/>
    <col min="280" max="280" width="12.6640625" customWidth="1"/>
    <col min="282" max="282" width="14.44140625" customWidth="1"/>
    <col min="283" max="283" width="11.88671875" customWidth="1"/>
    <col min="285" max="285" width="13.44140625" customWidth="1"/>
    <col min="513" max="513" width="48.5546875" customWidth="1"/>
    <col min="514" max="514" width="16.109375" customWidth="1"/>
    <col min="515" max="533" width="15.5546875" customWidth="1"/>
    <col min="534" max="534" width="17.33203125" customWidth="1"/>
    <col min="536" max="536" width="12.6640625" customWidth="1"/>
    <col min="538" max="538" width="14.44140625" customWidth="1"/>
    <col min="539" max="539" width="11.88671875" customWidth="1"/>
    <col min="541" max="541" width="13.44140625" customWidth="1"/>
    <col min="769" max="769" width="48.5546875" customWidth="1"/>
    <col min="770" max="770" width="16.109375" customWidth="1"/>
    <col min="771" max="789" width="15.5546875" customWidth="1"/>
    <col min="790" max="790" width="17.33203125" customWidth="1"/>
    <col min="792" max="792" width="12.6640625" customWidth="1"/>
    <col min="794" max="794" width="14.44140625" customWidth="1"/>
    <col min="795" max="795" width="11.88671875" customWidth="1"/>
    <col min="797" max="797" width="13.44140625" customWidth="1"/>
    <col min="1025" max="1025" width="48.5546875" customWidth="1"/>
    <col min="1026" max="1026" width="16.109375" customWidth="1"/>
    <col min="1027" max="1045" width="15.5546875" customWidth="1"/>
    <col min="1046" max="1046" width="17.33203125" customWidth="1"/>
    <col min="1048" max="1048" width="12.6640625" customWidth="1"/>
    <col min="1050" max="1050" width="14.44140625" customWidth="1"/>
    <col min="1051" max="1051" width="11.88671875" customWidth="1"/>
    <col min="1053" max="1053" width="13.44140625" customWidth="1"/>
    <col min="1281" max="1281" width="48.5546875" customWidth="1"/>
    <col min="1282" max="1282" width="16.109375" customWidth="1"/>
    <col min="1283" max="1301" width="15.5546875" customWidth="1"/>
    <col min="1302" max="1302" width="17.33203125" customWidth="1"/>
    <col min="1304" max="1304" width="12.6640625" customWidth="1"/>
    <col min="1306" max="1306" width="14.44140625" customWidth="1"/>
    <col min="1307" max="1307" width="11.88671875" customWidth="1"/>
    <col min="1309" max="1309" width="13.44140625" customWidth="1"/>
    <col min="1537" max="1537" width="48.5546875" customWidth="1"/>
    <col min="1538" max="1538" width="16.109375" customWidth="1"/>
    <col min="1539" max="1557" width="15.5546875" customWidth="1"/>
    <col min="1558" max="1558" width="17.33203125" customWidth="1"/>
    <col min="1560" max="1560" width="12.6640625" customWidth="1"/>
    <col min="1562" max="1562" width="14.44140625" customWidth="1"/>
    <col min="1563" max="1563" width="11.88671875" customWidth="1"/>
    <col min="1565" max="1565" width="13.44140625" customWidth="1"/>
    <col min="1793" max="1793" width="48.5546875" customWidth="1"/>
    <col min="1794" max="1794" width="16.109375" customWidth="1"/>
    <col min="1795" max="1813" width="15.5546875" customWidth="1"/>
    <col min="1814" max="1814" width="17.33203125" customWidth="1"/>
    <col min="1816" max="1816" width="12.6640625" customWidth="1"/>
    <col min="1818" max="1818" width="14.44140625" customWidth="1"/>
    <col min="1819" max="1819" width="11.88671875" customWidth="1"/>
    <col min="1821" max="1821" width="13.44140625" customWidth="1"/>
    <col min="2049" max="2049" width="48.5546875" customWidth="1"/>
    <col min="2050" max="2050" width="16.109375" customWidth="1"/>
    <col min="2051" max="2069" width="15.5546875" customWidth="1"/>
    <col min="2070" max="2070" width="17.33203125" customWidth="1"/>
    <col min="2072" max="2072" width="12.6640625" customWidth="1"/>
    <col min="2074" max="2074" width="14.44140625" customWidth="1"/>
    <col min="2075" max="2075" width="11.88671875" customWidth="1"/>
    <col min="2077" max="2077" width="13.44140625" customWidth="1"/>
    <col min="2305" max="2305" width="48.5546875" customWidth="1"/>
    <col min="2306" max="2306" width="16.109375" customWidth="1"/>
    <col min="2307" max="2325" width="15.5546875" customWidth="1"/>
    <col min="2326" max="2326" width="17.33203125" customWidth="1"/>
    <col min="2328" max="2328" width="12.6640625" customWidth="1"/>
    <col min="2330" max="2330" width="14.44140625" customWidth="1"/>
    <col min="2331" max="2331" width="11.88671875" customWidth="1"/>
    <col min="2333" max="2333" width="13.44140625" customWidth="1"/>
    <col min="2561" max="2561" width="48.5546875" customWidth="1"/>
    <col min="2562" max="2562" width="16.109375" customWidth="1"/>
    <col min="2563" max="2581" width="15.5546875" customWidth="1"/>
    <col min="2582" max="2582" width="17.33203125" customWidth="1"/>
    <col min="2584" max="2584" width="12.6640625" customWidth="1"/>
    <col min="2586" max="2586" width="14.44140625" customWidth="1"/>
    <col min="2587" max="2587" width="11.88671875" customWidth="1"/>
    <col min="2589" max="2589" width="13.44140625" customWidth="1"/>
    <col min="2817" max="2817" width="48.5546875" customWidth="1"/>
    <col min="2818" max="2818" width="16.109375" customWidth="1"/>
    <col min="2819" max="2837" width="15.5546875" customWidth="1"/>
    <col min="2838" max="2838" width="17.33203125" customWidth="1"/>
    <col min="2840" max="2840" width="12.6640625" customWidth="1"/>
    <col min="2842" max="2842" width="14.44140625" customWidth="1"/>
    <col min="2843" max="2843" width="11.88671875" customWidth="1"/>
    <col min="2845" max="2845" width="13.44140625" customWidth="1"/>
    <col min="3073" max="3073" width="48.5546875" customWidth="1"/>
    <col min="3074" max="3074" width="16.109375" customWidth="1"/>
    <col min="3075" max="3093" width="15.5546875" customWidth="1"/>
    <col min="3094" max="3094" width="17.33203125" customWidth="1"/>
    <col min="3096" max="3096" width="12.6640625" customWidth="1"/>
    <col min="3098" max="3098" width="14.44140625" customWidth="1"/>
    <col min="3099" max="3099" width="11.88671875" customWidth="1"/>
    <col min="3101" max="3101" width="13.44140625" customWidth="1"/>
    <col min="3329" max="3329" width="48.5546875" customWidth="1"/>
    <col min="3330" max="3330" width="16.109375" customWidth="1"/>
    <col min="3331" max="3349" width="15.5546875" customWidth="1"/>
    <col min="3350" max="3350" width="17.33203125" customWidth="1"/>
    <col min="3352" max="3352" width="12.6640625" customWidth="1"/>
    <col min="3354" max="3354" width="14.44140625" customWidth="1"/>
    <col min="3355" max="3355" width="11.88671875" customWidth="1"/>
    <col min="3357" max="3357" width="13.44140625" customWidth="1"/>
    <col min="3585" max="3585" width="48.5546875" customWidth="1"/>
    <col min="3586" max="3586" width="16.109375" customWidth="1"/>
    <col min="3587" max="3605" width="15.5546875" customWidth="1"/>
    <col min="3606" max="3606" width="17.33203125" customWidth="1"/>
    <col min="3608" max="3608" width="12.6640625" customWidth="1"/>
    <col min="3610" max="3610" width="14.44140625" customWidth="1"/>
    <col min="3611" max="3611" width="11.88671875" customWidth="1"/>
    <col min="3613" max="3613" width="13.44140625" customWidth="1"/>
    <col min="3841" max="3841" width="48.5546875" customWidth="1"/>
    <col min="3842" max="3842" width="16.109375" customWidth="1"/>
    <col min="3843" max="3861" width="15.5546875" customWidth="1"/>
    <col min="3862" max="3862" width="17.33203125" customWidth="1"/>
    <col min="3864" max="3864" width="12.6640625" customWidth="1"/>
    <col min="3866" max="3866" width="14.44140625" customWidth="1"/>
    <col min="3867" max="3867" width="11.88671875" customWidth="1"/>
    <col min="3869" max="3869" width="13.44140625" customWidth="1"/>
    <col min="4097" max="4097" width="48.5546875" customWidth="1"/>
    <col min="4098" max="4098" width="16.109375" customWidth="1"/>
    <col min="4099" max="4117" width="15.5546875" customWidth="1"/>
    <col min="4118" max="4118" width="17.33203125" customWidth="1"/>
    <col min="4120" max="4120" width="12.6640625" customWidth="1"/>
    <col min="4122" max="4122" width="14.44140625" customWidth="1"/>
    <col min="4123" max="4123" width="11.88671875" customWidth="1"/>
    <col min="4125" max="4125" width="13.44140625" customWidth="1"/>
    <col min="4353" max="4353" width="48.5546875" customWidth="1"/>
    <col min="4354" max="4354" width="16.109375" customWidth="1"/>
    <col min="4355" max="4373" width="15.5546875" customWidth="1"/>
    <col min="4374" max="4374" width="17.33203125" customWidth="1"/>
    <col min="4376" max="4376" width="12.6640625" customWidth="1"/>
    <col min="4378" max="4378" width="14.44140625" customWidth="1"/>
    <col min="4379" max="4379" width="11.88671875" customWidth="1"/>
    <col min="4381" max="4381" width="13.44140625" customWidth="1"/>
    <col min="4609" max="4609" width="48.5546875" customWidth="1"/>
    <col min="4610" max="4610" width="16.109375" customWidth="1"/>
    <col min="4611" max="4629" width="15.5546875" customWidth="1"/>
    <col min="4630" max="4630" width="17.33203125" customWidth="1"/>
    <col min="4632" max="4632" width="12.6640625" customWidth="1"/>
    <col min="4634" max="4634" width="14.44140625" customWidth="1"/>
    <col min="4635" max="4635" width="11.88671875" customWidth="1"/>
    <col min="4637" max="4637" width="13.44140625" customWidth="1"/>
    <col min="4865" max="4865" width="48.5546875" customWidth="1"/>
    <col min="4866" max="4866" width="16.109375" customWidth="1"/>
    <col min="4867" max="4885" width="15.5546875" customWidth="1"/>
    <col min="4886" max="4886" width="17.33203125" customWidth="1"/>
    <col min="4888" max="4888" width="12.6640625" customWidth="1"/>
    <col min="4890" max="4890" width="14.44140625" customWidth="1"/>
    <col min="4891" max="4891" width="11.88671875" customWidth="1"/>
    <col min="4893" max="4893" width="13.44140625" customWidth="1"/>
    <col min="5121" max="5121" width="48.5546875" customWidth="1"/>
    <col min="5122" max="5122" width="16.109375" customWidth="1"/>
    <col min="5123" max="5141" width="15.5546875" customWidth="1"/>
    <col min="5142" max="5142" width="17.33203125" customWidth="1"/>
    <col min="5144" max="5144" width="12.6640625" customWidth="1"/>
    <col min="5146" max="5146" width="14.44140625" customWidth="1"/>
    <col min="5147" max="5147" width="11.88671875" customWidth="1"/>
    <col min="5149" max="5149" width="13.44140625" customWidth="1"/>
    <col min="5377" max="5377" width="48.5546875" customWidth="1"/>
    <col min="5378" max="5378" width="16.109375" customWidth="1"/>
    <col min="5379" max="5397" width="15.5546875" customWidth="1"/>
    <col min="5398" max="5398" width="17.33203125" customWidth="1"/>
    <col min="5400" max="5400" width="12.6640625" customWidth="1"/>
    <col min="5402" max="5402" width="14.44140625" customWidth="1"/>
    <col min="5403" max="5403" width="11.88671875" customWidth="1"/>
    <col min="5405" max="5405" width="13.44140625" customWidth="1"/>
    <col min="5633" max="5633" width="48.5546875" customWidth="1"/>
    <col min="5634" max="5634" width="16.109375" customWidth="1"/>
    <col min="5635" max="5653" width="15.5546875" customWidth="1"/>
    <col min="5654" max="5654" width="17.33203125" customWidth="1"/>
    <col min="5656" max="5656" width="12.6640625" customWidth="1"/>
    <col min="5658" max="5658" width="14.44140625" customWidth="1"/>
    <col min="5659" max="5659" width="11.88671875" customWidth="1"/>
    <col min="5661" max="5661" width="13.44140625" customWidth="1"/>
    <col min="5889" max="5889" width="48.5546875" customWidth="1"/>
    <col min="5890" max="5890" width="16.109375" customWidth="1"/>
    <col min="5891" max="5909" width="15.5546875" customWidth="1"/>
    <col min="5910" max="5910" width="17.33203125" customWidth="1"/>
    <col min="5912" max="5912" width="12.6640625" customWidth="1"/>
    <col min="5914" max="5914" width="14.44140625" customWidth="1"/>
    <col min="5915" max="5915" width="11.88671875" customWidth="1"/>
    <col min="5917" max="5917" width="13.44140625" customWidth="1"/>
    <col min="6145" max="6145" width="48.5546875" customWidth="1"/>
    <col min="6146" max="6146" width="16.109375" customWidth="1"/>
    <col min="6147" max="6165" width="15.5546875" customWidth="1"/>
    <col min="6166" max="6166" width="17.33203125" customWidth="1"/>
    <col min="6168" max="6168" width="12.6640625" customWidth="1"/>
    <col min="6170" max="6170" width="14.44140625" customWidth="1"/>
    <col min="6171" max="6171" width="11.88671875" customWidth="1"/>
    <col min="6173" max="6173" width="13.44140625" customWidth="1"/>
    <col min="6401" max="6401" width="48.5546875" customWidth="1"/>
    <col min="6402" max="6402" width="16.109375" customWidth="1"/>
    <col min="6403" max="6421" width="15.5546875" customWidth="1"/>
    <col min="6422" max="6422" width="17.33203125" customWidth="1"/>
    <col min="6424" max="6424" width="12.6640625" customWidth="1"/>
    <col min="6426" max="6426" width="14.44140625" customWidth="1"/>
    <col min="6427" max="6427" width="11.88671875" customWidth="1"/>
    <col min="6429" max="6429" width="13.44140625" customWidth="1"/>
    <col min="6657" max="6657" width="48.5546875" customWidth="1"/>
    <col min="6658" max="6658" width="16.109375" customWidth="1"/>
    <col min="6659" max="6677" width="15.5546875" customWidth="1"/>
    <col min="6678" max="6678" width="17.33203125" customWidth="1"/>
    <col min="6680" max="6680" width="12.6640625" customWidth="1"/>
    <col min="6682" max="6682" width="14.44140625" customWidth="1"/>
    <col min="6683" max="6683" width="11.88671875" customWidth="1"/>
    <col min="6685" max="6685" width="13.44140625" customWidth="1"/>
    <col min="6913" max="6913" width="48.5546875" customWidth="1"/>
    <col min="6914" max="6914" width="16.109375" customWidth="1"/>
    <col min="6915" max="6933" width="15.5546875" customWidth="1"/>
    <col min="6934" max="6934" width="17.33203125" customWidth="1"/>
    <col min="6936" max="6936" width="12.6640625" customWidth="1"/>
    <col min="6938" max="6938" width="14.44140625" customWidth="1"/>
    <col min="6939" max="6939" width="11.88671875" customWidth="1"/>
    <col min="6941" max="6941" width="13.44140625" customWidth="1"/>
    <col min="7169" max="7169" width="48.5546875" customWidth="1"/>
    <col min="7170" max="7170" width="16.109375" customWidth="1"/>
    <col min="7171" max="7189" width="15.5546875" customWidth="1"/>
    <col min="7190" max="7190" width="17.33203125" customWidth="1"/>
    <col min="7192" max="7192" width="12.6640625" customWidth="1"/>
    <col min="7194" max="7194" width="14.44140625" customWidth="1"/>
    <col min="7195" max="7195" width="11.88671875" customWidth="1"/>
    <col min="7197" max="7197" width="13.44140625" customWidth="1"/>
    <col min="7425" max="7425" width="48.5546875" customWidth="1"/>
    <col min="7426" max="7426" width="16.109375" customWidth="1"/>
    <col min="7427" max="7445" width="15.5546875" customWidth="1"/>
    <col min="7446" max="7446" width="17.33203125" customWidth="1"/>
    <col min="7448" max="7448" width="12.6640625" customWidth="1"/>
    <col min="7450" max="7450" width="14.44140625" customWidth="1"/>
    <col min="7451" max="7451" width="11.88671875" customWidth="1"/>
    <col min="7453" max="7453" width="13.44140625" customWidth="1"/>
    <col min="7681" max="7681" width="48.5546875" customWidth="1"/>
    <col min="7682" max="7682" width="16.109375" customWidth="1"/>
    <col min="7683" max="7701" width="15.5546875" customWidth="1"/>
    <col min="7702" max="7702" width="17.33203125" customWidth="1"/>
    <col min="7704" max="7704" width="12.6640625" customWidth="1"/>
    <col min="7706" max="7706" width="14.44140625" customWidth="1"/>
    <col min="7707" max="7707" width="11.88671875" customWidth="1"/>
    <col min="7709" max="7709" width="13.44140625" customWidth="1"/>
    <col min="7937" max="7937" width="48.5546875" customWidth="1"/>
    <col min="7938" max="7938" width="16.109375" customWidth="1"/>
    <col min="7939" max="7957" width="15.5546875" customWidth="1"/>
    <col min="7958" max="7958" width="17.33203125" customWidth="1"/>
    <col min="7960" max="7960" width="12.6640625" customWidth="1"/>
    <col min="7962" max="7962" width="14.44140625" customWidth="1"/>
    <col min="7963" max="7963" width="11.88671875" customWidth="1"/>
    <col min="7965" max="7965" width="13.44140625" customWidth="1"/>
    <col min="8193" max="8193" width="48.5546875" customWidth="1"/>
    <col min="8194" max="8194" width="16.109375" customWidth="1"/>
    <col min="8195" max="8213" width="15.5546875" customWidth="1"/>
    <col min="8214" max="8214" width="17.33203125" customWidth="1"/>
    <col min="8216" max="8216" width="12.6640625" customWidth="1"/>
    <col min="8218" max="8218" width="14.44140625" customWidth="1"/>
    <col min="8219" max="8219" width="11.88671875" customWidth="1"/>
    <col min="8221" max="8221" width="13.44140625" customWidth="1"/>
    <col min="8449" max="8449" width="48.5546875" customWidth="1"/>
    <col min="8450" max="8450" width="16.109375" customWidth="1"/>
    <col min="8451" max="8469" width="15.5546875" customWidth="1"/>
    <col min="8470" max="8470" width="17.33203125" customWidth="1"/>
    <col min="8472" max="8472" width="12.6640625" customWidth="1"/>
    <col min="8474" max="8474" width="14.44140625" customWidth="1"/>
    <col min="8475" max="8475" width="11.88671875" customWidth="1"/>
    <col min="8477" max="8477" width="13.44140625" customWidth="1"/>
    <col min="8705" max="8705" width="48.5546875" customWidth="1"/>
    <col min="8706" max="8706" width="16.109375" customWidth="1"/>
    <col min="8707" max="8725" width="15.5546875" customWidth="1"/>
    <col min="8726" max="8726" width="17.33203125" customWidth="1"/>
    <col min="8728" max="8728" width="12.6640625" customWidth="1"/>
    <col min="8730" max="8730" width="14.44140625" customWidth="1"/>
    <col min="8731" max="8731" width="11.88671875" customWidth="1"/>
    <col min="8733" max="8733" width="13.44140625" customWidth="1"/>
    <col min="8961" max="8961" width="48.5546875" customWidth="1"/>
    <col min="8962" max="8962" width="16.109375" customWidth="1"/>
    <col min="8963" max="8981" width="15.5546875" customWidth="1"/>
    <col min="8982" max="8982" width="17.33203125" customWidth="1"/>
    <col min="8984" max="8984" width="12.6640625" customWidth="1"/>
    <col min="8986" max="8986" width="14.44140625" customWidth="1"/>
    <col min="8987" max="8987" width="11.88671875" customWidth="1"/>
    <col min="8989" max="8989" width="13.44140625" customWidth="1"/>
    <col min="9217" max="9217" width="48.5546875" customWidth="1"/>
    <col min="9218" max="9218" width="16.109375" customWidth="1"/>
    <col min="9219" max="9237" width="15.5546875" customWidth="1"/>
    <col min="9238" max="9238" width="17.33203125" customWidth="1"/>
    <col min="9240" max="9240" width="12.6640625" customWidth="1"/>
    <col min="9242" max="9242" width="14.44140625" customWidth="1"/>
    <col min="9243" max="9243" width="11.88671875" customWidth="1"/>
    <col min="9245" max="9245" width="13.44140625" customWidth="1"/>
    <col min="9473" max="9473" width="48.5546875" customWidth="1"/>
    <col min="9474" max="9474" width="16.109375" customWidth="1"/>
    <col min="9475" max="9493" width="15.5546875" customWidth="1"/>
    <col min="9494" max="9494" width="17.33203125" customWidth="1"/>
    <col min="9496" max="9496" width="12.6640625" customWidth="1"/>
    <col min="9498" max="9498" width="14.44140625" customWidth="1"/>
    <col min="9499" max="9499" width="11.88671875" customWidth="1"/>
    <col min="9501" max="9501" width="13.44140625" customWidth="1"/>
    <col min="9729" max="9729" width="48.5546875" customWidth="1"/>
    <col min="9730" max="9730" width="16.109375" customWidth="1"/>
    <col min="9731" max="9749" width="15.5546875" customWidth="1"/>
    <col min="9750" max="9750" width="17.33203125" customWidth="1"/>
    <col min="9752" max="9752" width="12.6640625" customWidth="1"/>
    <col min="9754" max="9754" width="14.44140625" customWidth="1"/>
    <col min="9755" max="9755" width="11.88671875" customWidth="1"/>
    <col min="9757" max="9757" width="13.44140625" customWidth="1"/>
    <col min="9985" max="9985" width="48.5546875" customWidth="1"/>
    <col min="9986" max="9986" width="16.109375" customWidth="1"/>
    <col min="9987" max="10005" width="15.5546875" customWidth="1"/>
    <col min="10006" max="10006" width="17.33203125" customWidth="1"/>
    <col min="10008" max="10008" width="12.6640625" customWidth="1"/>
    <col min="10010" max="10010" width="14.44140625" customWidth="1"/>
    <col min="10011" max="10011" width="11.88671875" customWidth="1"/>
    <col min="10013" max="10013" width="13.44140625" customWidth="1"/>
    <col min="10241" max="10241" width="48.5546875" customWidth="1"/>
    <col min="10242" max="10242" width="16.109375" customWidth="1"/>
    <col min="10243" max="10261" width="15.5546875" customWidth="1"/>
    <col min="10262" max="10262" width="17.33203125" customWidth="1"/>
    <col min="10264" max="10264" width="12.6640625" customWidth="1"/>
    <col min="10266" max="10266" width="14.44140625" customWidth="1"/>
    <col min="10267" max="10267" width="11.88671875" customWidth="1"/>
    <col min="10269" max="10269" width="13.44140625" customWidth="1"/>
    <col min="10497" max="10497" width="48.5546875" customWidth="1"/>
    <col min="10498" max="10498" width="16.109375" customWidth="1"/>
    <col min="10499" max="10517" width="15.5546875" customWidth="1"/>
    <col min="10518" max="10518" width="17.33203125" customWidth="1"/>
    <col min="10520" max="10520" width="12.6640625" customWidth="1"/>
    <col min="10522" max="10522" width="14.44140625" customWidth="1"/>
    <col min="10523" max="10523" width="11.88671875" customWidth="1"/>
    <col min="10525" max="10525" width="13.44140625" customWidth="1"/>
    <col min="10753" max="10753" width="48.5546875" customWidth="1"/>
    <col min="10754" max="10754" width="16.109375" customWidth="1"/>
    <col min="10755" max="10773" width="15.5546875" customWidth="1"/>
    <col min="10774" max="10774" width="17.33203125" customWidth="1"/>
    <col min="10776" max="10776" width="12.6640625" customWidth="1"/>
    <col min="10778" max="10778" width="14.44140625" customWidth="1"/>
    <col min="10779" max="10779" width="11.88671875" customWidth="1"/>
    <col min="10781" max="10781" width="13.44140625" customWidth="1"/>
    <col min="11009" max="11009" width="48.5546875" customWidth="1"/>
    <col min="11010" max="11010" width="16.109375" customWidth="1"/>
    <col min="11011" max="11029" width="15.5546875" customWidth="1"/>
    <col min="11030" max="11030" width="17.33203125" customWidth="1"/>
    <col min="11032" max="11032" width="12.6640625" customWidth="1"/>
    <col min="11034" max="11034" width="14.44140625" customWidth="1"/>
    <col min="11035" max="11035" width="11.88671875" customWidth="1"/>
    <col min="11037" max="11037" width="13.44140625" customWidth="1"/>
    <col min="11265" max="11265" width="48.5546875" customWidth="1"/>
    <col min="11266" max="11266" width="16.109375" customWidth="1"/>
    <col min="11267" max="11285" width="15.5546875" customWidth="1"/>
    <col min="11286" max="11286" width="17.33203125" customWidth="1"/>
    <col min="11288" max="11288" width="12.6640625" customWidth="1"/>
    <col min="11290" max="11290" width="14.44140625" customWidth="1"/>
    <col min="11291" max="11291" width="11.88671875" customWidth="1"/>
    <col min="11293" max="11293" width="13.44140625" customWidth="1"/>
    <col min="11521" max="11521" width="48.5546875" customWidth="1"/>
    <col min="11522" max="11522" width="16.109375" customWidth="1"/>
    <col min="11523" max="11541" width="15.5546875" customWidth="1"/>
    <col min="11542" max="11542" width="17.33203125" customWidth="1"/>
    <col min="11544" max="11544" width="12.6640625" customWidth="1"/>
    <col min="11546" max="11546" width="14.44140625" customWidth="1"/>
    <col min="11547" max="11547" width="11.88671875" customWidth="1"/>
    <col min="11549" max="11549" width="13.44140625" customWidth="1"/>
    <col min="11777" max="11777" width="48.5546875" customWidth="1"/>
    <col min="11778" max="11778" width="16.109375" customWidth="1"/>
    <col min="11779" max="11797" width="15.5546875" customWidth="1"/>
    <col min="11798" max="11798" width="17.33203125" customWidth="1"/>
    <col min="11800" max="11800" width="12.6640625" customWidth="1"/>
    <col min="11802" max="11802" width="14.44140625" customWidth="1"/>
    <col min="11803" max="11803" width="11.88671875" customWidth="1"/>
    <col min="11805" max="11805" width="13.44140625" customWidth="1"/>
    <col min="12033" max="12033" width="48.5546875" customWidth="1"/>
    <col min="12034" max="12034" width="16.109375" customWidth="1"/>
    <col min="12035" max="12053" width="15.5546875" customWidth="1"/>
    <col min="12054" max="12054" width="17.33203125" customWidth="1"/>
    <col min="12056" max="12056" width="12.6640625" customWidth="1"/>
    <col min="12058" max="12058" width="14.44140625" customWidth="1"/>
    <col min="12059" max="12059" width="11.88671875" customWidth="1"/>
    <col min="12061" max="12061" width="13.44140625" customWidth="1"/>
    <col min="12289" max="12289" width="48.5546875" customWidth="1"/>
    <col min="12290" max="12290" width="16.109375" customWidth="1"/>
    <col min="12291" max="12309" width="15.5546875" customWidth="1"/>
    <col min="12310" max="12310" width="17.33203125" customWidth="1"/>
    <col min="12312" max="12312" width="12.6640625" customWidth="1"/>
    <col min="12314" max="12314" width="14.44140625" customWidth="1"/>
    <col min="12315" max="12315" width="11.88671875" customWidth="1"/>
    <col min="12317" max="12317" width="13.44140625" customWidth="1"/>
    <col min="12545" max="12545" width="48.5546875" customWidth="1"/>
    <col min="12546" max="12546" width="16.109375" customWidth="1"/>
    <col min="12547" max="12565" width="15.5546875" customWidth="1"/>
    <col min="12566" max="12566" width="17.33203125" customWidth="1"/>
    <col min="12568" max="12568" width="12.6640625" customWidth="1"/>
    <col min="12570" max="12570" width="14.44140625" customWidth="1"/>
    <col min="12571" max="12571" width="11.88671875" customWidth="1"/>
    <col min="12573" max="12573" width="13.44140625" customWidth="1"/>
    <col min="12801" max="12801" width="48.5546875" customWidth="1"/>
    <col min="12802" max="12802" width="16.109375" customWidth="1"/>
    <col min="12803" max="12821" width="15.5546875" customWidth="1"/>
    <col min="12822" max="12822" width="17.33203125" customWidth="1"/>
    <col min="12824" max="12824" width="12.6640625" customWidth="1"/>
    <col min="12826" max="12826" width="14.44140625" customWidth="1"/>
    <col min="12827" max="12827" width="11.88671875" customWidth="1"/>
    <col min="12829" max="12829" width="13.44140625" customWidth="1"/>
    <col min="13057" max="13057" width="48.5546875" customWidth="1"/>
    <col min="13058" max="13058" width="16.109375" customWidth="1"/>
    <col min="13059" max="13077" width="15.5546875" customWidth="1"/>
    <col min="13078" max="13078" width="17.33203125" customWidth="1"/>
    <col min="13080" max="13080" width="12.6640625" customWidth="1"/>
    <col min="13082" max="13082" width="14.44140625" customWidth="1"/>
    <col min="13083" max="13083" width="11.88671875" customWidth="1"/>
    <col min="13085" max="13085" width="13.44140625" customWidth="1"/>
    <col min="13313" max="13313" width="48.5546875" customWidth="1"/>
    <col min="13314" max="13314" width="16.109375" customWidth="1"/>
    <col min="13315" max="13333" width="15.5546875" customWidth="1"/>
    <col min="13334" max="13334" width="17.33203125" customWidth="1"/>
    <col min="13336" max="13336" width="12.6640625" customWidth="1"/>
    <col min="13338" max="13338" width="14.44140625" customWidth="1"/>
    <col min="13339" max="13339" width="11.88671875" customWidth="1"/>
    <col min="13341" max="13341" width="13.44140625" customWidth="1"/>
    <col min="13569" max="13569" width="48.5546875" customWidth="1"/>
    <col min="13570" max="13570" width="16.109375" customWidth="1"/>
    <col min="13571" max="13589" width="15.5546875" customWidth="1"/>
    <col min="13590" max="13590" width="17.33203125" customWidth="1"/>
    <col min="13592" max="13592" width="12.6640625" customWidth="1"/>
    <col min="13594" max="13594" width="14.44140625" customWidth="1"/>
    <col min="13595" max="13595" width="11.88671875" customWidth="1"/>
    <col min="13597" max="13597" width="13.44140625" customWidth="1"/>
    <col min="13825" max="13825" width="48.5546875" customWidth="1"/>
    <col min="13826" max="13826" width="16.109375" customWidth="1"/>
    <col min="13827" max="13845" width="15.5546875" customWidth="1"/>
    <col min="13846" max="13846" width="17.33203125" customWidth="1"/>
    <col min="13848" max="13848" width="12.6640625" customWidth="1"/>
    <col min="13850" max="13850" width="14.44140625" customWidth="1"/>
    <col min="13851" max="13851" width="11.88671875" customWidth="1"/>
    <col min="13853" max="13853" width="13.44140625" customWidth="1"/>
    <col min="14081" max="14081" width="48.5546875" customWidth="1"/>
    <col min="14082" max="14082" width="16.109375" customWidth="1"/>
    <col min="14083" max="14101" width="15.5546875" customWidth="1"/>
    <col min="14102" max="14102" width="17.33203125" customWidth="1"/>
    <col min="14104" max="14104" width="12.6640625" customWidth="1"/>
    <col min="14106" max="14106" width="14.44140625" customWidth="1"/>
    <col min="14107" max="14107" width="11.88671875" customWidth="1"/>
    <col min="14109" max="14109" width="13.44140625" customWidth="1"/>
    <col min="14337" max="14337" width="48.5546875" customWidth="1"/>
    <col min="14338" max="14338" width="16.109375" customWidth="1"/>
    <col min="14339" max="14357" width="15.5546875" customWidth="1"/>
    <col min="14358" max="14358" width="17.33203125" customWidth="1"/>
    <col min="14360" max="14360" width="12.6640625" customWidth="1"/>
    <col min="14362" max="14362" width="14.44140625" customWidth="1"/>
    <col min="14363" max="14363" width="11.88671875" customWidth="1"/>
    <col min="14365" max="14365" width="13.44140625" customWidth="1"/>
    <col min="14593" max="14593" width="48.5546875" customWidth="1"/>
    <col min="14594" max="14594" width="16.109375" customWidth="1"/>
    <col min="14595" max="14613" width="15.5546875" customWidth="1"/>
    <col min="14614" max="14614" width="17.33203125" customWidth="1"/>
    <col min="14616" max="14616" width="12.6640625" customWidth="1"/>
    <col min="14618" max="14618" width="14.44140625" customWidth="1"/>
    <col min="14619" max="14619" width="11.88671875" customWidth="1"/>
    <col min="14621" max="14621" width="13.44140625" customWidth="1"/>
    <col min="14849" max="14849" width="48.5546875" customWidth="1"/>
    <col min="14850" max="14850" width="16.109375" customWidth="1"/>
    <col min="14851" max="14869" width="15.5546875" customWidth="1"/>
    <col min="14870" max="14870" width="17.33203125" customWidth="1"/>
    <col min="14872" max="14872" width="12.6640625" customWidth="1"/>
    <col min="14874" max="14874" width="14.44140625" customWidth="1"/>
    <col min="14875" max="14875" width="11.88671875" customWidth="1"/>
    <col min="14877" max="14877" width="13.44140625" customWidth="1"/>
    <col min="15105" max="15105" width="48.5546875" customWidth="1"/>
    <col min="15106" max="15106" width="16.109375" customWidth="1"/>
    <col min="15107" max="15125" width="15.5546875" customWidth="1"/>
    <col min="15126" max="15126" width="17.33203125" customWidth="1"/>
    <col min="15128" max="15128" width="12.6640625" customWidth="1"/>
    <col min="15130" max="15130" width="14.44140625" customWidth="1"/>
    <col min="15131" max="15131" width="11.88671875" customWidth="1"/>
    <col min="15133" max="15133" width="13.44140625" customWidth="1"/>
    <col min="15361" max="15361" width="48.5546875" customWidth="1"/>
    <col min="15362" max="15362" width="16.109375" customWidth="1"/>
    <col min="15363" max="15381" width="15.5546875" customWidth="1"/>
    <col min="15382" max="15382" width="17.33203125" customWidth="1"/>
    <col min="15384" max="15384" width="12.6640625" customWidth="1"/>
    <col min="15386" max="15386" width="14.44140625" customWidth="1"/>
    <col min="15387" max="15387" width="11.88671875" customWidth="1"/>
    <col min="15389" max="15389" width="13.44140625" customWidth="1"/>
    <col min="15617" max="15617" width="48.5546875" customWidth="1"/>
    <col min="15618" max="15618" width="16.109375" customWidth="1"/>
    <col min="15619" max="15637" width="15.5546875" customWidth="1"/>
    <col min="15638" max="15638" width="17.33203125" customWidth="1"/>
    <col min="15640" max="15640" width="12.6640625" customWidth="1"/>
    <col min="15642" max="15642" width="14.44140625" customWidth="1"/>
    <col min="15643" max="15643" width="11.88671875" customWidth="1"/>
    <col min="15645" max="15645" width="13.44140625" customWidth="1"/>
    <col min="15873" max="15873" width="48.5546875" customWidth="1"/>
    <col min="15874" max="15874" width="16.109375" customWidth="1"/>
    <col min="15875" max="15893" width="15.5546875" customWidth="1"/>
    <col min="15894" max="15894" width="17.33203125" customWidth="1"/>
    <col min="15896" max="15896" width="12.6640625" customWidth="1"/>
    <col min="15898" max="15898" width="14.44140625" customWidth="1"/>
    <col min="15899" max="15899" width="11.88671875" customWidth="1"/>
    <col min="15901" max="15901" width="13.44140625" customWidth="1"/>
    <col min="16129" max="16129" width="48.5546875" customWidth="1"/>
    <col min="16130" max="16130" width="16.109375" customWidth="1"/>
    <col min="16131" max="16149" width="15.5546875" customWidth="1"/>
    <col min="16150" max="16150" width="17.33203125" customWidth="1"/>
    <col min="16152" max="16152" width="12.6640625" customWidth="1"/>
    <col min="16154" max="16154" width="14.44140625" customWidth="1"/>
    <col min="16155" max="16155" width="11.88671875" customWidth="1"/>
    <col min="16157" max="16157" width="13.44140625" customWidth="1"/>
  </cols>
  <sheetData>
    <row r="1" spans="1:29" ht="36" customHeight="1" x14ac:dyDescent="0.3">
      <c r="A1" s="364" t="s">
        <v>187</v>
      </c>
      <c r="B1" s="364"/>
      <c r="C1" s="364"/>
      <c r="D1" s="364"/>
      <c r="E1" s="365"/>
      <c r="F1" s="364"/>
      <c r="G1" s="364"/>
      <c r="H1" s="364"/>
      <c r="I1" s="364"/>
      <c r="J1" s="364"/>
      <c r="K1" s="364"/>
      <c r="L1" s="364"/>
      <c r="M1" s="364"/>
      <c r="N1" s="364"/>
      <c r="O1" s="364"/>
      <c r="P1" s="364"/>
      <c r="Q1" s="364"/>
      <c r="R1" s="364"/>
      <c r="S1" s="364"/>
      <c r="T1" s="364"/>
      <c r="U1" s="364"/>
      <c r="V1" s="364"/>
      <c r="W1" s="482"/>
    </row>
    <row r="2" spans="1:29" s="366" customFormat="1" ht="16.5" customHeight="1" x14ac:dyDescent="0.3">
      <c r="A2" s="535" t="s">
        <v>188</v>
      </c>
      <c r="B2" s="208" t="s">
        <v>189</v>
      </c>
      <c r="C2" s="208" t="s">
        <v>190</v>
      </c>
      <c r="D2" s="208" t="s">
        <v>191</v>
      </c>
      <c r="E2" s="208" t="s">
        <v>192</v>
      </c>
      <c r="F2" s="208" t="s">
        <v>193</v>
      </c>
      <c r="G2" s="208" t="s">
        <v>194</v>
      </c>
      <c r="H2" s="208" t="s">
        <v>195</v>
      </c>
      <c r="I2" s="208" t="s">
        <v>196</v>
      </c>
      <c r="J2" s="208" t="s">
        <v>197</v>
      </c>
      <c r="K2" s="208" t="s">
        <v>198</v>
      </c>
      <c r="L2" s="208" t="s">
        <v>199</v>
      </c>
      <c r="M2" s="208" t="s">
        <v>200</v>
      </c>
      <c r="N2" s="208" t="s">
        <v>201</v>
      </c>
      <c r="O2" s="208" t="s">
        <v>202</v>
      </c>
      <c r="P2" s="208" t="s">
        <v>203</v>
      </c>
      <c r="Q2" s="208" t="s">
        <v>204</v>
      </c>
      <c r="R2" s="208" t="s">
        <v>205</v>
      </c>
      <c r="S2" s="208" t="s">
        <v>206</v>
      </c>
      <c r="T2" s="208" t="s">
        <v>207</v>
      </c>
      <c r="U2" s="208" t="s">
        <v>208</v>
      </c>
      <c r="V2" s="536" t="s">
        <v>209</v>
      </c>
      <c r="W2" s="483"/>
    </row>
    <row r="3" spans="1:29" s="366" customFormat="1" ht="16.5" customHeight="1" thickTop="1" thickBot="1" x14ac:dyDescent="0.35">
      <c r="A3" s="518"/>
      <c r="B3" s="208">
        <v>1</v>
      </c>
      <c r="C3" s="208">
        <v>2</v>
      </c>
      <c r="D3" s="208">
        <v>3</v>
      </c>
      <c r="E3" s="208">
        <v>4</v>
      </c>
      <c r="F3" s="208">
        <v>5</v>
      </c>
      <c r="G3" s="208">
        <v>6</v>
      </c>
      <c r="H3" s="208">
        <v>7</v>
      </c>
      <c r="I3" s="208">
        <v>8</v>
      </c>
      <c r="J3" s="208">
        <v>9</v>
      </c>
      <c r="K3" s="208">
        <v>10</v>
      </c>
      <c r="L3" s="208">
        <v>11</v>
      </c>
      <c r="M3" s="208">
        <v>12</v>
      </c>
      <c r="N3" s="208">
        <v>13</v>
      </c>
      <c r="O3" s="208">
        <v>14</v>
      </c>
      <c r="P3" s="208">
        <v>15</v>
      </c>
      <c r="Q3" s="208">
        <v>16</v>
      </c>
      <c r="R3" s="208">
        <v>17</v>
      </c>
      <c r="S3" s="208">
        <v>18</v>
      </c>
      <c r="T3" s="208">
        <v>19</v>
      </c>
      <c r="U3" s="208">
        <v>20</v>
      </c>
      <c r="V3" s="518"/>
      <c r="W3" s="484"/>
    </row>
    <row r="4" spans="1:29" ht="15.75" customHeight="1" thickTop="1" thickBot="1" x14ac:dyDescent="0.35">
      <c r="A4" s="534" t="s">
        <v>210</v>
      </c>
      <c r="B4" s="367">
        <v>19772430000</v>
      </c>
      <c r="C4" s="367">
        <v>0</v>
      </c>
      <c r="D4" s="367">
        <v>9990000000</v>
      </c>
      <c r="E4" s="367">
        <v>16650000000</v>
      </c>
      <c r="F4" s="367">
        <v>7400000000</v>
      </c>
      <c r="G4" s="367">
        <v>11840000000</v>
      </c>
      <c r="H4" s="367">
        <v>17760000000</v>
      </c>
      <c r="I4" s="367">
        <v>17760000000</v>
      </c>
      <c r="J4" s="367">
        <v>11840000000</v>
      </c>
      <c r="K4" s="367">
        <v>0</v>
      </c>
      <c r="L4" s="367">
        <v>0</v>
      </c>
      <c r="M4" s="367">
        <v>0</v>
      </c>
      <c r="N4" s="367">
        <v>0</v>
      </c>
      <c r="O4" s="367">
        <v>0</v>
      </c>
      <c r="P4" s="367">
        <v>0</v>
      </c>
      <c r="Q4" s="367">
        <v>0</v>
      </c>
      <c r="R4" s="367">
        <v>0</v>
      </c>
      <c r="S4" s="367">
        <v>0</v>
      </c>
      <c r="T4" s="367">
        <v>0</v>
      </c>
      <c r="U4" s="367">
        <v>0</v>
      </c>
      <c r="V4" s="368"/>
      <c r="W4" s="482"/>
    </row>
    <row r="5" spans="1:29" ht="15" customHeight="1" thickTop="1" thickBot="1" x14ac:dyDescent="0.35">
      <c r="A5" s="517"/>
      <c r="B5" s="369">
        <v>1</v>
      </c>
      <c r="C5" s="369">
        <v>1</v>
      </c>
      <c r="D5" s="369">
        <v>1</v>
      </c>
      <c r="E5" s="369">
        <v>1</v>
      </c>
      <c r="F5" s="369">
        <v>1</v>
      </c>
      <c r="G5" s="369">
        <v>1</v>
      </c>
      <c r="H5" s="369">
        <v>1</v>
      </c>
      <c r="I5" s="369">
        <v>1</v>
      </c>
      <c r="J5" s="369">
        <v>1</v>
      </c>
      <c r="K5" s="369">
        <v>1</v>
      </c>
      <c r="L5" s="369">
        <v>1</v>
      </c>
      <c r="M5" s="369">
        <v>1</v>
      </c>
      <c r="N5" s="369">
        <v>1</v>
      </c>
      <c r="O5" s="369">
        <v>1</v>
      </c>
      <c r="P5" s="369">
        <v>1</v>
      </c>
      <c r="Q5" s="369">
        <v>1</v>
      </c>
      <c r="R5" s="369">
        <v>1</v>
      </c>
      <c r="S5" s="369">
        <v>1</v>
      </c>
      <c r="T5" s="369">
        <v>1</v>
      </c>
      <c r="U5" s="369">
        <v>1</v>
      </c>
      <c r="V5" s="370"/>
      <c r="W5" s="482"/>
    </row>
    <row r="6" spans="1:29" ht="15.75" customHeight="1" thickTop="1" thickBot="1" x14ac:dyDescent="0.35">
      <c r="A6" s="517"/>
      <c r="B6" s="369">
        <v>1</v>
      </c>
      <c r="C6" s="369">
        <v>1</v>
      </c>
      <c r="D6" s="369">
        <v>1</v>
      </c>
      <c r="E6" s="369">
        <v>1</v>
      </c>
      <c r="F6" s="369">
        <v>1</v>
      </c>
      <c r="G6" s="369">
        <v>1</v>
      </c>
      <c r="H6" s="369">
        <v>1</v>
      </c>
      <c r="I6" s="369">
        <v>1</v>
      </c>
      <c r="J6" s="369">
        <v>1</v>
      </c>
      <c r="K6" s="369">
        <v>1</v>
      </c>
      <c r="L6" s="369">
        <v>1</v>
      </c>
      <c r="M6" s="369">
        <v>1</v>
      </c>
      <c r="N6" s="369">
        <v>1</v>
      </c>
      <c r="O6" s="369">
        <v>1</v>
      </c>
      <c r="P6" s="369">
        <v>1</v>
      </c>
      <c r="Q6" s="369">
        <v>1</v>
      </c>
      <c r="R6" s="369">
        <v>1</v>
      </c>
      <c r="S6" s="369">
        <v>1</v>
      </c>
      <c r="T6" s="369">
        <v>1</v>
      </c>
      <c r="U6" s="369">
        <v>1</v>
      </c>
      <c r="V6" s="370"/>
      <c r="W6" s="482"/>
    </row>
    <row r="7" spans="1:29" s="366" customFormat="1" ht="19.5" customHeight="1" x14ac:dyDescent="0.3">
      <c r="A7" s="518"/>
      <c r="B7" s="371">
        <f t="shared" ref="B7:U7" si="0">+B4*B5*B6</f>
        <v>19772430000</v>
      </c>
      <c r="C7" s="371">
        <f t="shared" si="0"/>
        <v>0</v>
      </c>
      <c r="D7" s="371">
        <f t="shared" si="0"/>
        <v>9990000000</v>
      </c>
      <c r="E7" s="371">
        <f t="shared" si="0"/>
        <v>16650000000</v>
      </c>
      <c r="F7" s="371">
        <f t="shared" si="0"/>
        <v>7400000000</v>
      </c>
      <c r="G7" s="371">
        <f t="shared" si="0"/>
        <v>11840000000</v>
      </c>
      <c r="H7" s="371">
        <f t="shared" si="0"/>
        <v>17760000000</v>
      </c>
      <c r="I7" s="371">
        <f t="shared" si="0"/>
        <v>17760000000</v>
      </c>
      <c r="J7" s="371">
        <f t="shared" si="0"/>
        <v>11840000000</v>
      </c>
      <c r="K7" s="371">
        <f t="shared" si="0"/>
        <v>0</v>
      </c>
      <c r="L7" s="371">
        <f t="shared" si="0"/>
        <v>0</v>
      </c>
      <c r="M7" s="371">
        <f t="shared" si="0"/>
        <v>0</v>
      </c>
      <c r="N7" s="371">
        <f t="shared" si="0"/>
        <v>0</v>
      </c>
      <c r="O7" s="371">
        <f t="shared" si="0"/>
        <v>0</v>
      </c>
      <c r="P7" s="371">
        <f t="shared" si="0"/>
        <v>0</v>
      </c>
      <c r="Q7" s="371">
        <f t="shared" si="0"/>
        <v>0</v>
      </c>
      <c r="R7" s="371">
        <f t="shared" si="0"/>
        <v>0</v>
      </c>
      <c r="S7" s="371">
        <f t="shared" si="0"/>
        <v>0</v>
      </c>
      <c r="T7" s="371">
        <f t="shared" si="0"/>
        <v>0</v>
      </c>
      <c r="U7" s="371">
        <f t="shared" si="0"/>
        <v>0</v>
      </c>
      <c r="V7" s="371">
        <f>SUM(B7:U7)</f>
        <v>113012430000</v>
      </c>
      <c r="W7" s="485"/>
      <c r="X7" s="372"/>
    </row>
    <row r="8" spans="1:29" ht="15.75" customHeight="1" x14ac:dyDescent="0.3">
      <c r="A8" s="534" t="s">
        <v>211</v>
      </c>
      <c r="B8" s="373">
        <v>6333303690.000001</v>
      </c>
      <c r="C8" s="373">
        <v>6333303690.000001</v>
      </c>
      <c r="D8" s="373">
        <v>6333303690.000001</v>
      </c>
      <c r="E8" s="367">
        <v>6333303690.000001</v>
      </c>
      <c r="F8" s="373">
        <v>6333303690.000001</v>
      </c>
      <c r="G8" s="373">
        <v>6333303690.000001</v>
      </c>
      <c r="H8" s="367">
        <v>6333303690.000001</v>
      </c>
      <c r="I8" s="373">
        <v>6333303690.000001</v>
      </c>
      <c r="J8" s="373">
        <v>6333303690.000001</v>
      </c>
      <c r="K8" s="367">
        <v>6333303690.000001</v>
      </c>
      <c r="L8" s="373">
        <v>6333303690.000001</v>
      </c>
      <c r="M8" s="373">
        <v>6333303690.000001</v>
      </c>
      <c r="N8" s="373">
        <v>6333303690.000001</v>
      </c>
      <c r="O8" s="373">
        <v>6333303690.000001</v>
      </c>
      <c r="P8" s="373">
        <v>6333303690.000001</v>
      </c>
      <c r="Q8" s="373">
        <v>6333303690.000001</v>
      </c>
      <c r="R8" s="367">
        <v>6333303690.000001</v>
      </c>
      <c r="S8" s="373">
        <v>6333303690.000001</v>
      </c>
      <c r="T8" s="373">
        <v>6333303690.000001</v>
      </c>
      <c r="U8" s="367">
        <v>6333303690.000001</v>
      </c>
      <c r="V8" s="373"/>
      <c r="W8" s="482"/>
    </row>
    <row r="9" spans="1:29" ht="15" customHeight="1" x14ac:dyDescent="0.3">
      <c r="A9" s="517"/>
      <c r="B9" s="374">
        <v>0</v>
      </c>
      <c r="C9" s="369">
        <v>1</v>
      </c>
      <c r="D9" s="369">
        <v>1</v>
      </c>
      <c r="E9" s="369">
        <v>1</v>
      </c>
      <c r="F9" s="369">
        <v>1</v>
      </c>
      <c r="G9" s="369">
        <v>1</v>
      </c>
      <c r="H9" s="369">
        <v>1</v>
      </c>
      <c r="I9" s="369">
        <v>1</v>
      </c>
      <c r="J9" s="369">
        <v>1</v>
      </c>
      <c r="K9" s="369">
        <v>1</v>
      </c>
      <c r="L9" s="369">
        <v>1</v>
      </c>
      <c r="M9" s="369">
        <v>1</v>
      </c>
      <c r="N9" s="369">
        <v>1</v>
      </c>
      <c r="O9" s="369">
        <v>1</v>
      </c>
      <c r="P9" s="369">
        <v>1</v>
      </c>
      <c r="Q9" s="369">
        <v>1</v>
      </c>
      <c r="R9" s="369">
        <v>1</v>
      </c>
      <c r="S9" s="369">
        <v>1</v>
      </c>
      <c r="T9" s="369">
        <v>1</v>
      </c>
      <c r="U9" s="369">
        <v>1</v>
      </c>
      <c r="V9" s="375"/>
      <c r="W9" s="482"/>
    </row>
    <row r="10" spans="1:29" ht="15.75" customHeight="1" x14ac:dyDescent="0.3">
      <c r="A10" s="517"/>
      <c r="B10" s="374">
        <v>1</v>
      </c>
      <c r="C10" s="369">
        <v>1</v>
      </c>
      <c r="D10" s="369">
        <v>1</v>
      </c>
      <c r="E10" s="369">
        <v>1</v>
      </c>
      <c r="F10" s="369">
        <v>1</v>
      </c>
      <c r="G10" s="369">
        <v>1</v>
      </c>
      <c r="H10" s="369">
        <v>1</v>
      </c>
      <c r="I10" s="369">
        <v>1</v>
      </c>
      <c r="J10" s="369">
        <v>1</v>
      </c>
      <c r="K10" s="369">
        <v>1</v>
      </c>
      <c r="L10" s="369">
        <v>1</v>
      </c>
      <c r="M10" s="369">
        <v>1</v>
      </c>
      <c r="N10" s="369">
        <v>1</v>
      </c>
      <c r="O10" s="369">
        <v>1</v>
      </c>
      <c r="P10" s="369">
        <v>1</v>
      </c>
      <c r="Q10" s="369">
        <v>1</v>
      </c>
      <c r="R10" s="369">
        <v>1</v>
      </c>
      <c r="S10" s="369">
        <v>1</v>
      </c>
      <c r="T10" s="369">
        <v>1</v>
      </c>
      <c r="U10" s="369">
        <v>1</v>
      </c>
      <c r="V10" s="375"/>
      <c r="W10" s="482"/>
    </row>
    <row r="11" spans="1:29" s="366" customFormat="1" ht="19.5" customHeight="1" x14ac:dyDescent="0.3">
      <c r="A11" s="518"/>
      <c r="B11" s="371">
        <f t="shared" ref="B11:U11" si="1">+B8*B9*B10</f>
        <v>0</v>
      </c>
      <c r="C11" s="371">
        <f t="shared" si="1"/>
        <v>6333303690.000001</v>
      </c>
      <c r="D11" s="371">
        <f t="shared" si="1"/>
        <v>6333303690.000001</v>
      </c>
      <c r="E11" s="371">
        <f t="shared" si="1"/>
        <v>6333303690.000001</v>
      </c>
      <c r="F11" s="371">
        <f t="shared" si="1"/>
        <v>6333303690.000001</v>
      </c>
      <c r="G11" s="371">
        <f t="shared" si="1"/>
        <v>6333303690.000001</v>
      </c>
      <c r="H11" s="371">
        <f t="shared" si="1"/>
        <v>6333303690.000001</v>
      </c>
      <c r="I11" s="371">
        <f t="shared" si="1"/>
        <v>6333303690.000001</v>
      </c>
      <c r="J11" s="371">
        <f t="shared" si="1"/>
        <v>6333303690.000001</v>
      </c>
      <c r="K11" s="371">
        <f t="shared" si="1"/>
        <v>6333303690.000001</v>
      </c>
      <c r="L11" s="371">
        <f t="shared" si="1"/>
        <v>6333303690.000001</v>
      </c>
      <c r="M11" s="371">
        <f t="shared" si="1"/>
        <v>6333303690.000001</v>
      </c>
      <c r="N11" s="371">
        <f t="shared" si="1"/>
        <v>6333303690.000001</v>
      </c>
      <c r="O11" s="371">
        <f t="shared" si="1"/>
        <v>6333303690.000001</v>
      </c>
      <c r="P11" s="371">
        <f t="shared" si="1"/>
        <v>6333303690.000001</v>
      </c>
      <c r="Q11" s="371">
        <f t="shared" si="1"/>
        <v>6333303690.000001</v>
      </c>
      <c r="R11" s="371">
        <f t="shared" si="1"/>
        <v>6333303690.000001</v>
      </c>
      <c r="S11" s="371">
        <f t="shared" si="1"/>
        <v>6333303690.000001</v>
      </c>
      <c r="T11" s="371">
        <f t="shared" si="1"/>
        <v>6333303690.000001</v>
      </c>
      <c r="U11" s="371">
        <f t="shared" si="1"/>
        <v>6333303690.000001</v>
      </c>
      <c r="V11" s="371">
        <f>SUM(B11:U11)</f>
        <v>120332770110.00002</v>
      </c>
      <c r="W11" s="485"/>
      <c r="X11" s="372"/>
    </row>
    <row r="12" spans="1:29" s="366" customFormat="1" ht="19.5" customHeight="1" x14ac:dyDescent="0.3">
      <c r="A12" s="376" t="s">
        <v>212</v>
      </c>
      <c r="B12" s="377">
        <f t="shared" ref="B12:U12" si="2">+B7+B11</f>
        <v>19772430000</v>
      </c>
      <c r="C12" s="377">
        <f t="shared" si="2"/>
        <v>6333303690.000001</v>
      </c>
      <c r="D12" s="377">
        <f t="shared" si="2"/>
        <v>16323303690</v>
      </c>
      <c r="E12" s="377">
        <f t="shared" si="2"/>
        <v>22983303690</v>
      </c>
      <c r="F12" s="377">
        <f t="shared" si="2"/>
        <v>13733303690</v>
      </c>
      <c r="G12" s="377">
        <f t="shared" si="2"/>
        <v>18173303690</v>
      </c>
      <c r="H12" s="377">
        <f t="shared" si="2"/>
        <v>24093303690</v>
      </c>
      <c r="I12" s="377">
        <f t="shared" si="2"/>
        <v>24093303690</v>
      </c>
      <c r="J12" s="377">
        <f t="shared" si="2"/>
        <v>18173303690</v>
      </c>
      <c r="K12" s="377">
        <f t="shared" si="2"/>
        <v>6333303690.000001</v>
      </c>
      <c r="L12" s="377">
        <f t="shared" si="2"/>
        <v>6333303690.000001</v>
      </c>
      <c r="M12" s="377">
        <f t="shared" si="2"/>
        <v>6333303690.000001</v>
      </c>
      <c r="N12" s="377">
        <f t="shared" si="2"/>
        <v>6333303690.000001</v>
      </c>
      <c r="O12" s="377">
        <f t="shared" si="2"/>
        <v>6333303690.000001</v>
      </c>
      <c r="P12" s="377">
        <f t="shared" si="2"/>
        <v>6333303690.000001</v>
      </c>
      <c r="Q12" s="377">
        <f t="shared" si="2"/>
        <v>6333303690.000001</v>
      </c>
      <c r="R12" s="377">
        <f t="shared" si="2"/>
        <v>6333303690.000001</v>
      </c>
      <c r="S12" s="377">
        <f t="shared" si="2"/>
        <v>6333303690.000001</v>
      </c>
      <c r="T12" s="377">
        <f t="shared" si="2"/>
        <v>6333303690.000001</v>
      </c>
      <c r="U12" s="377">
        <f t="shared" si="2"/>
        <v>6333303690.000001</v>
      </c>
      <c r="V12" s="378">
        <f>SUM(B12:U12)</f>
        <v>233345200110</v>
      </c>
      <c r="W12" s="485"/>
      <c r="X12" s="379"/>
    </row>
    <row r="13" spans="1:29" ht="15.75" customHeight="1" x14ac:dyDescent="0.3">
      <c r="A13" s="534" t="s">
        <v>213</v>
      </c>
      <c r="B13" s="367">
        <v>1598400000</v>
      </c>
      <c r="C13" s="367">
        <v>1598400000</v>
      </c>
      <c r="D13" s="367">
        <v>1598400000</v>
      </c>
      <c r="E13" s="367">
        <v>1598400000</v>
      </c>
      <c r="F13" s="367">
        <v>1598400000</v>
      </c>
      <c r="G13" s="367">
        <v>1598400000</v>
      </c>
      <c r="H13" s="367">
        <v>1598400000</v>
      </c>
      <c r="I13" s="367">
        <v>1598400000</v>
      </c>
      <c r="J13" s="367">
        <v>1598400000</v>
      </c>
      <c r="K13" s="367">
        <v>1598400000</v>
      </c>
      <c r="L13" s="367">
        <v>1598400000</v>
      </c>
      <c r="M13" s="367">
        <v>1598400000</v>
      </c>
      <c r="N13" s="367">
        <v>1598400000</v>
      </c>
      <c r="O13" s="367">
        <v>1598400000</v>
      </c>
      <c r="P13" s="367">
        <v>1598400000</v>
      </c>
      <c r="Q13" s="367">
        <v>1598400000</v>
      </c>
      <c r="R13" s="367">
        <v>1598400000</v>
      </c>
      <c r="S13" s="367">
        <v>1598400000</v>
      </c>
      <c r="T13" s="367">
        <v>1598400000</v>
      </c>
      <c r="U13" s="367">
        <v>1598400000</v>
      </c>
      <c r="V13" s="368"/>
      <c r="W13" s="482"/>
      <c r="Z13" s="331"/>
      <c r="AC13" s="331"/>
    </row>
    <row r="14" spans="1:29" ht="15" customHeight="1" x14ac:dyDescent="0.3">
      <c r="A14" s="517"/>
      <c r="B14" s="369">
        <v>1</v>
      </c>
      <c r="C14" s="369">
        <v>1</v>
      </c>
      <c r="D14" s="369">
        <v>1</v>
      </c>
      <c r="E14" s="369">
        <v>1</v>
      </c>
      <c r="F14" s="369">
        <v>1</v>
      </c>
      <c r="G14" s="369">
        <v>1</v>
      </c>
      <c r="H14" s="369">
        <v>1</v>
      </c>
      <c r="I14" s="369">
        <v>1</v>
      </c>
      <c r="J14" s="369">
        <v>1</v>
      </c>
      <c r="K14" s="369">
        <v>1</v>
      </c>
      <c r="L14" s="369">
        <v>1</v>
      </c>
      <c r="M14" s="369">
        <v>1</v>
      </c>
      <c r="N14" s="369">
        <v>1</v>
      </c>
      <c r="O14" s="369">
        <v>1</v>
      </c>
      <c r="P14" s="369">
        <v>1</v>
      </c>
      <c r="Q14" s="369">
        <v>1</v>
      </c>
      <c r="R14" s="369">
        <v>1</v>
      </c>
      <c r="S14" s="369">
        <v>1</v>
      </c>
      <c r="T14" s="369">
        <v>1</v>
      </c>
      <c r="U14" s="369">
        <v>1</v>
      </c>
      <c r="V14" s="370"/>
      <c r="W14" s="482"/>
      <c r="Z14" s="331"/>
      <c r="AC14" s="331"/>
    </row>
    <row r="15" spans="1:29" ht="15.75" customHeight="1" x14ac:dyDescent="0.3">
      <c r="A15" s="517"/>
      <c r="B15" s="369">
        <v>1</v>
      </c>
      <c r="C15" s="369">
        <v>1</v>
      </c>
      <c r="D15" s="369">
        <v>1</v>
      </c>
      <c r="E15" s="369">
        <v>1</v>
      </c>
      <c r="F15" s="369">
        <v>1</v>
      </c>
      <c r="G15" s="369">
        <v>1</v>
      </c>
      <c r="H15" s="369">
        <v>1</v>
      </c>
      <c r="I15" s="369">
        <v>1</v>
      </c>
      <c r="J15" s="369">
        <v>1</v>
      </c>
      <c r="K15" s="369">
        <v>1</v>
      </c>
      <c r="L15" s="369">
        <v>1</v>
      </c>
      <c r="M15" s="369">
        <v>1</v>
      </c>
      <c r="N15" s="369">
        <v>1</v>
      </c>
      <c r="O15" s="369">
        <v>1</v>
      </c>
      <c r="P15" s="369">
        <v>1</v>
      </c>
      <c r="Q15" s="369">
        <v>1</v>
      </c>
      <c r="R15" s="369">
        <v>1</v>
      </c>
      <c r="S15" s="369">
        <v>1</v>
      </c>
      <c r="T15" s="369">
        <v>1</v>
      </c>
      <c r="U15" s="369">
        <v>1</v>
      </c>
      <c r="V15" s="370"/>
      <c r="W15" s="482"/>
      <c r="Z15" s="331"/>
      <c r="AC15" s="331"/>
    </row>
    <row r="16" spans="1:29" s="366" customFormat="1" ht="19.5" customHeight="1" x14ac:dyDescent="0.3">
      <c r="A16" s="518"/>
      <c r="B16" s="371">
        <f t="shared" ref="B16:U16" si="3">+B13*B14*B15</f>
        <v>1598400000</v>
      </c>
      <c r="C16" s="371">
        <f t="shared" si="3"/>
        <v>1598400000</v>
      </c>
      <c r="D16" s="371">
        <f t="shared" si="3"/>
        <v>1598400000</v>
      </c>
      <c r="E16" s="371">
        <f t="shared" si="3"/>
        <v>1598400000</v>
      </c>
      <c r="F16" s="371">
        <f t="shared" si="3"/>
        <v>1598400000</v>
      </c>
      <c r="G16" s="371">
        <f t="shared" si="3"/>
        <v>1598400000</v>
      </c>
      <c r="H16" s="371">
        <f t="shared" si="3"/>
        <v>1598400000</v>
      </c>
      <c r="I16" s="371">
        <f t="shared" si="3"/>
        <v>1598400000</v>
      </c>
      <c r="J16" s="371">
        <f t="shared" si="3"/>
        <v>1598400000</v>
      </c>
      <c r="K16" s="371">
        <f t="shared" si="3"/>
        <v>1598400000</v>
      </c>
      <c r="L16" s="371">
        <f t="shared" si="3"/>
        <v>1598400000</v>
      </c>
      <c r="M16" s="371">
        <f t="shared" si="3"/>
        <v>1598400000</v>
      </c>
      <c r="N16" s="371">
        <f t="shared" si="3"/>
        <v>1598400000</v>
      </c>
      <c r="O16" s="371">
        <f t="shared" si="3"/>
        <v>1598400000</v>
      </c>
      <c r="P16" s="371">
        <f t="shared" si="3"/>
        <v>1598400000</v>
      </c>
      <c r="Q16" s="371">
        <f t="shared" si="3"/>
        <v>1598400000</v>
      </c>
      <c r="R16" s="371">
        <f t="shared" si="3"/>
        <v>1598400000</v>
      </c>
      <c r="S16" s="371">
        <f t="shared" si="3"/>
        <v>1598400000</v>
      </c>
      <c r="T16" s="371">
        <f t="shared" si="3"/>
        <v>1598400000</v>
      </c>
      <c r="U16" s="371">
        <f t="shared" si="3"/>
        <v>1598400000</v>
      </c>
      <c r="V16" s="371">
        <f>SUM(B16:U16)</f>
        <v>31968000000</v>
      </c>
      <c r="Z16" s="379"/>
      <c r="AC16" s="379"/>
    </row>
    <row r="17" spans="1:29" ht="15.75" customHeight="1" x14ac:dyDescent="0.3">
      <c r="A17" s="534" t="s">
        <v>214</v>
      </c>
      <c r="B17" s="367">
        <v>7080712200</v>
      </c>
      <c r="C17" s="367">
        <v>7080712200</v>
      </c>
      <c r="D17" s="367">
        <v>7080712200</v>
      </c>
      <c r="E17" s="367">
        <v>7080712200</v>
      </c>
      <c r="F17" s="367">
        <v>7080712200</v>
      </c>
      <c r="G17" s="367">
        <v>7080712200</v>
      </c>
      <c r="H17" s="367">
        <v>7080712200</v>
      </c>
      <c r="I17" s="367">
        <v>7080712200</v>
      </c>
      <c r="J17" s="367">
        <v>7080712200</v>
      </c>
      <c r="K17" s="367">
        <v>7080712200</v>
      </c>
      <c r="L17" s="367">
        <v>7080712200</v>
      </c>
      <c r="M17" s="367">
        <v>7080712200</v>
      </c>
      <c r="N17" s="367">
        <v>7080712200</v>
      </c>
      <c r="O17" s="367">
        <v>7080712200</v>
      </c>
      <c r="P17" s="367">
        <v>7080712200</v>
      </c>
      <c r="Q17" s="367">
        <v>7080712200</v>
      </c>
      <c r="R17" s="367">
        <v>7080712200</v>
      </c>
      <c r="S17" s="367">
        <v>7080712200</v>
      </c>
      <c r="T17" s="367">
        <v>7080712200</v>
      </c>
      <c r="U17" s="367">
        <v>7080712200</v>
      </c>
      <c r="V17" s="368"/>
      <c r="Z17" s="331"/>
      <c r="AC17" s="331"/>
    </row>
    <row r="18" spans="1:29" ht="15" customHeight="1" x14ac:dyDescent="0.3">
      <c r="A18" s="517"/>
      <c r="B18" s="369">
        <v>0.3</v>
      </c>
      <c r="C18" s="369">
        <v>0.3</v>
      </c>
      <c r="D18" s="369">
        <v>0.5</v>
      </c>
      <c r="E18" s="369">
        <v>1</v>
      </c>
      <c r="F18" s="369">
        <v>1</v>
      </c>
      <c r="G18" s="369">
        <v>1</v>
      </c>
      <c r="H18" s="369">
        <v>1</v>
      </c>
      <c r="I18" s="369">
        <v>1</v>
      </c>
      <c r="J18" s="369">
        <v>1</v>
      </c>
      <c r="K18" s="369">
        <v>1</v>
      </c>
      <c r="L18" s="369">
        <v>1</v>
      </c>
      <c r="M18" s="369">
        <v>1</v>
      </c>
      <c r="N18" s="369">
        <v>1</v>
      </c>
      <c r="O18" s="369">
        <v>1</v>
      </c>
      <c r="P18" s="369">
        <v>1</v>
      </c>
      <c r="Q18" s="369">
        <v>1</v>
      </c>
      <c r="R18" s="369">
        <v>1</v>
      </c>
      <c r="S18" s="369">
        <v>1</v>
      </c>
      <c r="T18" s="369">
        <v>1</v>
      </c>
      <c r="U18" s="369">
        <v>1</v>
      </c>
      <c r="V18" s="370"/>
      <c r="Z18" s="331"/>
      <c r="AC18" s="331"/>
    </row>
    <row r="19" spans="1:29" ht="15.75" customHeight="1" x14ac:dyDescent="0.3">
      <c r="A19" s="517"/>
      <c r="B19" s="369">
        <v>1</v>
      </c>
      <c r="C19" s="369">
        <v>1</v>
      </c>
      <c r="D19" s="369">
        <v>1</v>
      </c>
      <c r="E19" s="369">
        <v>1</v>
      </c>
      <c r="F19" s="369">
        <v>1</v>
      </c>
      <c r="G19" s="369">
        <v>1</v>
      </c>
      <c r="H19" s="369">
        <v>1</v>
      </c>
      <c r="I19" s="369">
        <v>1</v>
      </c>
      <c r="J19" s="369">
        <v>1</v>
      </c>
      <c r="K19" s="369">
        <v>1</v>
      </c>
      <c r="L19" s="369">
        <v>1</v>
      </c>
      <c r="M19" s="369">
        <v>1</v>
      </c>
      <c r="N19" s="369">
        <v>1</v>
      </c>
      <c r="O19" s="369">
        <v>1</v>
      </c>
      <c r="P19" s="369">
        <v>1</v>
      </c>
      <c r="Q19" s="369">
        <v>1</v>
      </c>
      <c r="R19" s="369">
        <v>1</v>
      </c>
      <c r="S19" s="369">
        <v>1</v>
      </c>
      <c r="T19" s="369">
        <v>1</v>
      </c>
      <c r="U19" s="369">
        <v>1</v>
      </c>
      <c r="V19" s="370"/>
      <c r="Z19" s="331"/>
      <c r="AC19" s="331"/>
    </row>
    <row r="20" spans="1:29" s="366" customFormat="1" ht="19.5" customHeight="1" x14ac:dyDescent="0.3">
      <c r="A20" s="518"/>
      <c r="B20" s="371">
        <f t="shared" ref="B20:U20" si="4">+B17*B18*B19</f>
        <v>2124213660</v>
      </c>
      <c r="C20" s="371">
        <f t="shared" si="4"/>
        <v>2124213660</v>
      </c>
      <c r="D20" s="371">
        <f t="shared" si="4"/>
        <v>3540356100</v>
      </c>
      <c r="E20" s="371">
        <f t="shared" si="4"/>
        <v>7080712200</v>
      </c>
      <c r="F20" s="371">
        <f t="shared" si="4"/>
        <v>7080712200</v>
      </c>
      <c r="G20" s="371">
        <f t="shared" si="4"/>
        <v>7080712200</v>
      </c>
      <c r="H20" s="371">
        <f t="shared" si="4"/>
        <v>7080712200</v>
      </c>
      <c r="I20" s="371">
        <f t="shared" si="4"/>
        <v>7080712200</v>
      </c>
      <c r="J20" s="371">
        <f t="shared" si="4"/>
        <v>7080712200</v>
      </c>
      <c r="K20" s="371">
        <f t="shared" si="4"/>
        <v>7080712200</v>
      </c>
      <c r="L20" s="371">
        <f t="shared" si="4"/>
        <v>7080712200</v>
      </c>
      <c r="M20" s="371">
        <f t="shared" si="4"/>
        <v>7080712200</v>
      </c>
      <c r="N20" s="371">
        <f t="shared" si="4"/>
        <v>7080712200</v>
      </c>
      <c r="O20" s="371">
        <f t="shared" si="4"/>
        <v>7080712200</v>
      </c>
      <c r="P20" s="371">
        <f t="shared" si="4"/>
        <v>7080712200</v>
      </c>
      <c r="Q20" s="371">
        <f t="shared" si="4"/>
        <v>7080712200</v>
      </c>
      <c r="R20" s="371">
        <f t="shared" si="4"/>
        <v>7080712200</v>
      </c>
      <c r="S20" s="371">
        <f t="shared" si="4"/>
        <v>7080712200</v>
      </c>
      <c r="T20" s="371">
        <f t="shared" si="4"/>
        <v>7080712200</v>
      </c>
      <c r="U20" s="371">
        <f t="shared" si="4"/>
        <v>7080712200</v>
      </c>
      <c r="V20" s="371">
        <f>SUM(B20:U20)</f>
        <v>128160890820</v>
      </c>
      <c r="Z20" s="379"/>
      <c r="AC20" s="379"/>
    </row>
    <row r="21" spans="1:29" ht="15.75" customHeight="1" x14ac:dyDescent="0.3">
      <c r="A21" s="534" t="s">
        <v>215</v>
      </c>
      <c r="B21" s="367">
        <v>524497200</v>
      </c>
      <c r="C21" s="367">
        <v>524497200</v>
      </c>
      <c r="D21" s="367">
        <v>524497200</v>
      </c>
      <c r="E21" s="367">
        <v>524497200</v>
      </c>
      <c r="F21" s="367">
        <v>524497200</v>
      </c>
      <c r="G21" s="367">
        <v>524497200</v>
      </c>
      <c r="H21" s="367">
        <v>524497200</v>
      </c>
      <c r="I21" s="367">
        <v>524497200</v>
      </c>
      <c r="J21" s="367">
        <v>524497200</v>
      </c>
      <c r="K21" s="367">
        <v>524497200</v>
      </c>
      <c r="L21" s="367">
        <v>524497200</v>
      </c>
      <c r="M21" s="367">
        <v>524497200</v>
      </c>
      <c r="N21" s="367">
        <v>524497200</v>
      </c>
      <c r="O21" s="367">
        <v>524497200</v>
      </c>
      <c r="P21" s="367">
        <v>524497200</v>
      </c>
      <c r="Q21" s="367">
        <v>524497200</v>
      </c>
      <c r="R21" s="367">
        <v>524497200</v>
      </c>
      <c r="S21" s="367">
        <v>524497200</v>
      </c>
      <c r="T21" s="367">
        <v>524497200</v>
      </c>
      <c r="U21" s="367">
        <v>524497200</v>
      </c>
      <c r="V21" s="368"/>
      <c r="Z21" s="331"/>
      <c r="AC21" s="331"/>
    </row>
    <row r="22" spans="1:29" ht="15" customHeight="1" x14ac:dyDescent="0.3">
      <c r="A22" s="517"/>
      <c r="B22" s="369">
        <v>1</v>
      </c>
      <c r="C22" s="369">
        <v>1</v>
      </c>
      <c r="D22" s="369">
        <v>1</v>
      </c>
      <c r="E22" s="369">
        <v>1</v>
      </c>
      <c r="F22" s="369">
        <v>1</v>
      </c>
      <c r="G22" s="369">
        <v>1</v>
      </c>
      <c r="H22" s="369">
        <v>1</v>
      </c>
      <c r="I22" s="369">
        <v>1</v>
      </c>
      <c r="J22" s="369">
        <v>1</v>
      </c>
      <c r="K22" s="369">
        <v>1</v>
      </c>
      <c r="L22" s="369">
        <v>1</v>
      </c>
      <c r="M22" s="369">
        <v>1</v>
      </c>
      <c r="N22" s="369">
        <v>1</v>
      </c>
      <c r="O22" s="369">
        <v>1</v>
      </c>
      <c r="P22" s="369">
        <v>1</v>
      </c>
      <c r="Q22" s="369">
        <v>1</v>
      </c>
      <c r="R22" s="369">
        <v>1</v>
      </c>
      <c r="S22" s="369">
        <v>1</v>
      </c>
      <c r="T22" s="369">
        <v>1</v>
      </c>
      <c r="U22" s="369">
        <v>1</v>
      </c>
      <c r="V22" s="370"/>
      <c r="Z22" s="331"/>
      <c r="AC22" s="331"/>
    </row>
    <row r="23" spans="1:29" ht="15.75" customHeight="1" x14ac:dyDescent="0.3">
      <c r="A23" s="517"/>
      <c r="B23" s="369">
        <v>1</v>
      </c>
      <c r="C23" s="369">
        <v>1</v>
      </c>
      <c r="D23" s="369">
        <v>1</v>
      </c>
      <c r="E23" s="369">
        <v>1</v>
      </c>
      <c r="F23" s="369">
        <v>1</v>
      </c>
      <c r="G23" s="369">
        <v>1</v>
      </c>
      <c r="H23" s="369">
        <v>1</v>
      </c>
      <c r="I23" s="369">
        <v>1</v>
      </c>
      <c r="J23" s="369">
        <v>1</v>
      </c>
      <c r="K23" s="369">
        <v>1</v>
      </c>
      <c r="L23" s="369">
        <v>1</v>
      </c>
      <c r="M23" s="369">
        <v>1</v>
      </c>
      <c r="N23" s="369">
        <v>1</v>
      </c>
      <c r="O23" s="369">
        <v>1</v>
      </c>
      <c r="P23" s="369">
        <v>1</v>
      </c>
      <c r="Q23" s="369">
        <v>1</v>
      </c>
      <c r="R23" s="369">
        <v>1</v>
      </c>
      <c r="S23" s="369">
        <v>1</v>
      </c>
      <c r="T23" s="369">
        <v>1</v>
      </c>
      <c r="U23" s="369">
        <v>1</v>
      </c>
      <c r="V23" s="370"/>
      <c r="Z23" s="331"/>
      <c r="AC23" s="331"/>
    </row>
    <row r="24" spans="1:29" s="366" customFormat="1" ht="19.5" customHeight="1" x14ac:dyDescent="0.3">
      <c r="A24" s="518"/>
      <c r="B24" s="371">
        <f t="shared" ref="B24:U24" si="5">+B21*B22*B23</f>
        <v>524497200</v>
      </c>
      <c r="C24" s="371">
        <f t="shared" si="5"/>
        <v>524497200</v>
      </c>
      <c r="D24" s="371">
        <f t="shared" si="5"/>
        <v>524497200</v>
      </c>
      <c r="E24" s="371">
        <f t="shared" si="5"/>
        <v>524497200</v>
      </c>
      <c r="F24" s="371">
        <f t="shared" si="5"/>
        <v>524497200</v>
      </c>
      <c r="G24" s="371">
        <f t="shared" si="5"/>
        <v>524497200</v>
      </c>
      <c r="H24" s="371">
        <f t="shared" si="5"/>
        <v>524497200</v>
      </c>
      <c r="I24" s="371">
        <f t="shared" si="5"/>
        <v>524497200</v>
      </c>
      <c r="J24" s="371">
        <f t="shared" si="5"/>
        <v>524497200</v>
      </c>
      <c r="K24" s="371">
        <f t="shared" si="5"/>
        <v>524497200</v>
      </c>
      <c r="L24" s="371">
        <f t="shared" si="5"/>
        <v>524497200</v>
      </c>
      <c r="M24" s="371">
        <f t="shared" si="5"/>
        <v>524497200</v>
      </c>
      <c r="N24" s="371">
        <f t="shared" si="5"/>
        <v>524497200</v>
      </c>
      <c r="O24" s="371">
        <f t="shared" si="5"/>
        <v>524497200</v>
      </c>
      <c r="P24" s="371">
        <f t="shared" si="5"/>
        <v>524497200</v>
      </c>
      <c r="Q24" s="371">
        <f t="shared" si="5"/>
        <v>524497200</v>
      </c>
      <c r="R24" s="371">
        <f t="shared" si="5"/>
        <v>524497200</v>
      </c>
      <c r="S24" s="371">
        <f t="shared" si="5"/>
        <v>524497200</v>
      </c>
      <c r="T24" s="371">
        <f t="shared" si="5"/>
        <v>524497200</v>
      </c>
      <c r="U24" s="371">
        <f t="shared" si="5"/>
        <v>524497200</v>
      </c>
      <c r="V24" s="371">
        <f>SUM(B24:U24)</f>
        <v>10489944000</v>
      </c>
      <c r="Z24" s="379"/>
      <c r="AC24" s="379"/>
    </row>
    <row r="25" spans="1:29" ht="15.75" customHeight="1" x14ac:dyDescent="0.3">
      <c r="A25" s="534" t="s">
        <v>216</v>
      </c>
      <c r="B25" s="367">
        <v>1346800000</v>
      </c>
      <c r="C25" s="367">
        <v>1346800000</v>
      </c>
      <c r="D25" s="367">
        <v>1346800000</v>
      </c>
      <c r="E25" s="367">
        <v>1346800000</v>
      </c>
      <c r="F25" s="367">
        <v>1346800000</v>
      </c>
      <c r="G25" s="367">
        <v>1346800000</v>
      </c>
      <c r="H25" s="367">
        <v>1346800000</v>
      </c>
      <c r="I25" s="367">
        <v>1346800000</v>
      </c>
      <c r="J25" s="367">
        <v>1346800000</v>
      </c>
      <c r="K25" s="367">
        <v>1346800000</v>
      </c>
      <c r="L25" s="367">
        <v>1346800000</v>
      </c>
      <c r="M25" s="367">
        <v>1346800000</v>
      </c>
      <c r="N25" s="367">
        <v>1346800000</v>
      </c>
      <c r="O25" s="367">
        <v>1346800000</v>
      </c>
      <c r="P25" s="367">
        <v>1346800000</v>
      </c>
      <c r="Q25" s="367">
        <v>1346800000</v>
      </c>
      <c r="R25" s="367">
        <v>1346800000</v>
      </c>
      <c r="S25" s="367">
        <v>1346800000</v>
      </c>
      <c r="T25" s="367">
        <v>1346800000</v>
      </c>
      <c r="U25" s="367">
        <v>1346800000</v>
      </c>
      <c r="V25" s="368"/>
      <c r="Z25" s="331"/>
      <c r="AC25" s="331"/>
    </row>
    <row r="26" spans="1:29" ht="15" customHeight="1" x14ac:dyDescent="0.3">
      <c r="A26" s="517"/>
      <c r="B26" s="369">
        <v>1</v>
      </c>
      <c r="C26" s="369">
        <v>1</v>
      </c>
      <c r="D26" s="369">
        <v>1</v>
      </c>
      <c r="E26" s="369">
        <v>1</v>
      </c>
      <c r="F26" s="369">
        <v>1</v>
      </c>
      <c r="G26" s="369">
        <v>1</v>
      </c>
      <c r="H26" s="369">
        <v>1</v>
      </c>
      <c r="I26" s="369">
        <v>1</v>
      </c>
      <c r="J26" s="369">
        <v>1</v>
      </c>
      <c r="K26" s="369">
        <v>1</v>
      </c>
      <c r="L26" s="369">
        <v>1</v>
      </c>
      <c r="M26" s="369">
        <v>1</v>
      </c>
      <c r="N26" s="369">
        <v>1</v>
      </c>
      <c r="O26" s="369">
        <v>1</v>
      </c>
      <c r="P26" s="369">
        <v>1</v>
      </c>
      <c r="Q26" s="369">
        <v>1</v>
      </c>
      <c r="R26" s="369">
        <v>1</v>
      </c>
      <c r="S26" s="369">
        <v>1</v>
      </c>
      <c r="T26" s="369">
        <v>1</v>
      </c>
      <c r="U26" s="369">
        <v>1</v>
      </c>
      <c r="V26" s="370"/>
      <c r="Z26" s="331"/>
      <c r="AC26" s="331"/>
    </row>
    <row r="27" spans="1:29" ht="15.75" customHeight="1" x14ac:dyDescent="0.3">
      <c r="A27" s="517"/>
      <c r="B27" s="369">
        <v>1</v>
      </c>
      <c r="C27" s="369">
        <v>1</v>
      </c>
      <c r="D27" s="369">
        <v>1</v>
      </c>
      <c r="E27" s="369">
        <v>1</v>
      </c>
      <c r="F27" s="369">
        <v>1</v>
      </c>
      <c r="G27" s="369">
        <v>1</v>
      </c>
      <c r="H27" s="369">
        <v>1</v>
      </c>
      <c r="I27" s="369">
        <v>1</v>
      </c>
      <c r="J27" s="369">
        <v>1</v>
      </c>
      <c r="K27" s="369">
        <v>1</v>
      </c>
      <c r="L27" s="369">
        <v>1</v>
      </c>
      <c r="M27" s="369">
        <v>1</v>
      </c>
      <c r="N27" s="369">
        <v>1</v>
      </c>
      <c r="O27" s="369">
        <v>1</v>
      </c>
      <c r="P27" s="369">
        <v>1</v>
      </c>
      <c r="Q27" s="369">
        <v>1</v>
      </c>
      <c r="R27" s="369">
        <v>1</v>
      </c>
      <c r="S27" s="369">
        <v>1</v>
      </c>
      <c r="T27" s="369">
        <v>1</v>
      </c>
      <c r="U27" s="369">
        <v>1</v>
      </c>
      <c r="V27" s="370"/>
      <c r="Z27" s="331"/>
      <c r="AC27" s="331"/>
    </row>
    <row r="28" spans="1:29" s="366" customFormat="1" ht="19.5" customHeight="1" x14ac:dyDescent="0.3">
      <c r="A28" s="518"/>
      <c r="B28" s="371">
        <f t="shared" ref="B28:U28" si="6">+B25*B26*B27</f>
        <v>1346800000</v>
      </c>
      <c r="C28" s="371">
        <f t="shared" si="6"/>
        <v>1346800000</v>
      </c>
      <c r="D28" s="371">
        <f t="shared" si="6"/>
        <v>1346800000</v>
      </c>
      <c r="E28" s="371">
        <f t="shared" si="6"/>
        <v>1346800000</v>
      </c>
      <c r="F28" s="371">
        <f t="shared" si="6"/>
        <v>1346800000</v>
      </c>
      <c r="G28" s="371">
        <f t="shared" si="6"/>
        <v>1346800000</v>
      </c>
      <c r="H28" s="371">
        <f t="shared" si="6"/>
        <v>1346800000</v>
      </c>
      <c r="I28" s="371">
        <f t="shared" si="6"/>
        <v>1346800000</v>
      </c>
      <c r="J28" s="371">
        <f t="shared" si="6"/>
        <v>1346800000</v>
      </c>
      <c r="K28" s="371">
        <f t="shared" si="6"/>
        <v>1346800000</v>
      </c>
      <c r="L28" s="371">
        <f t="shared" si="6"/>
        <v>1346800000</v>
      </c>
      <c r="M28" s="371">
        <f t="shared" si="6"/>
        <v>1346800000</v>
      </c>
      <c r="N28" s="371">
        <f t="shared" si="6"/>
        <v>1346800000</v>
      </c>
      <c r="O28" s="371">
        <f t="shared" si="6"/>
        <v>1346800000</v>
      </c>
      <c r="P28" s="371">
        <f t="shared" si="6"/>
        <v>1346800000</v>
      </c>
      <c r="Q28" s="371">
        <f t="shared" si="6"/>
        <v>1346800000</v>
      </c>
      <c r="R28" s="371">
        <f t="shared" si="6"/>
        <v>1346800000</v>
      </c>
      <c r="S28" s="371">
        <f t="shared" si="6"/>
        <v>1346800000</v>
      </c>
      <c r="T28" s="371">
        <f t="shared" si="6"/>
        <v>1346800000</v>
      </c>
      <c r="U28" s="371">
        <f t="shared" si="6"/>
        <v>1346800000</v>
      </c>
      <c r="V28" s="371">
        <f>SUM(B28:U28)</f>
        <v>26936000000</v>
      </c>
      <c r="Z28" s="379"/>
      <c r="AC28" s="379"/>
    </row>
    <row r="29" spans="1:29" s="366" customFormat="1" ht="19.5" customHeight="1" x14ac:dyDescent="0.3">
      <c r="A29" s="376" t="s">
        <v>217</v>
      </c>
      <c r="B29" s="377">
        <f t="shared" ref="B29:U29" si="7">+B16+B20+B24+B28</f>
        <v>5593910860</v>
      </c>
      <c r="C29" s="377">
        <f t="shared" si="7"/>
        <v>5593910860</v>
      </c>
      <c r="D29" s="377">
        <f t="shared" si="7"/>
        <v>7010053300</v>
      </c>
      <c r="E29" s="377">
        <f t="shared" si="7"/>
        <v>10550409400</v>
      </c>
      <c r="F29" s="377">
        <f t="shared" si="7"/>
        <v>10550409400</v>
      </c>
      <c r="G29" s="377">
        <f t="shared" si="7"/>
        <v>10550409400</v>
      </c>
      <c r="H29" s="377">
        <f t="shared" si="7"/>
        <v>10550409400</v>
      </c>
      <c r="I29" s="377">
        <f t="shared" si="7"/>
        <v>10550409400</v>
      </c>
      <c r="J29" s="377">
        <f t="shared" si="7"/>
        <v>10550409400</v>
      </c>
      <c r="K29" s="377">
        <f t="shared" si="7"/>
        <v>10550409400</v>
      </c>
      <c r="L29" s="377">
        <f t="shared" si="7"/>
        <v>10550409400</v>
      </c>
      <c r="M29" s="377">
        <f t="shared" si="7"/>
        <v>10550409400</v>
      </c>
      <c r="N29" s="377">
        <f t="shared" si="7"/>
        <v>10550409400</v>
      </c>
      <c r="O29" s="377">
        <f t="shared" si="7"/>
        <v>10550409400</v>
      </c>
      <c r="P29" s="377">
        <f t="shared" si="7"/>
        <v>10550409400</v>
      </c>
      <c r="Q29" s="377">
        <f t="shared" si="7"/>
        <v>10550409400</v>
      </c>
      <c r="R29" s="377">
        <f t="shared" si="7"/>
        <v>10550409400</v>
      </c>
      <c r="S29" s="377">
        <f t="shared" si="7"/>
        <v>10550409400</v>
      </c>
      <c r="T29" s="377">
        <f t="shared" si="7"/>
        <v>10550409400</v>
      </c>
      <c r="U29" s="377">
        <f t="shared" si="7"/>
        <v>10550409400</v>
      </c>
      <c r="V29" s="378">
        <f>SUM(B29:U29)</f>
        <v>197554834820</v>
      </c>
      <c r="Z29" s="379"/>
      <c r="AC29" s="379"/>
    </row>
    <row r="30" spans="1:29" ht="15.75" customHeight="1" x14ac:dyDescent="0.3">
      <c r="A30" s="380"/>
      <c r="B30" s="331"/>
      <c r="C30" s="331"/>
      <c r="D30" s="331"/>
      <c r="E30" s="331"/>
      <c r="F30" s="331"/>
      <c r="G30" s="331"/>
      <c r="H30" s="331"/>
      <c r="I30" s="331"/>
      <c r="J30" s="331"/>
      <c r="K30" s="331"/>
      <c r="L30" s="331"/>
      <c r="M30" s="331"/>
      <c r="N30" s="331"/>
      <c r="O30" s="331"/>
      <c r="P30" s="331"/>
      <c r="Q30" s="331"/>
      <c r="R30" s="331"/>
      <c r="S30" s="331"/>
      <c r="T30" s="331"/>
      <c r="U30" s="331"/>
      <c r="V30" s="381"/>
      <c r="Z30" s="331"/>
      <c r="AC30" s="331"/>
    </row>
  </sheetData>
  <mergeCells count="8">
    <mergeCell ref="A2:A3"/>
    <mergeCell ref="V2:V3"/>
    <mergeCell ref="A25:A28"/>
    <mergeCell ref="A4:A7"/>
    <mergeCell ref="A13:A16"/>
    <mergeCell ref="A8:A11"/>
    <mergeCell ref="A17:A20"/>
    <mergeCell ref="A21:A24"/>
  </mergeCells>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A1:DB32"/>
  <sheetViews>
    <sheetView showGridLines="0" zoomScale="70" zoomScaleNormal="70" workbookViewId="0">
      <selection activeCell="K20" sqref="K20"/>
    </sheetView>
  </sheetViews>
  <sheetFormatPr defaultColWidth="11.44140625" defaultRowHeight="14.4" outlineLevelRow="1" x14ac:dyDescent="0.3"/>
  <cols>
    <col min="1" max="1" width="6.88671875" customWidth="1"/>
    <col min="2" max="2" width="50" customWidth="1"/>
    <col min="3" max="3" width="14.88671875" customWidth="1"/>
    <col min="4" max="4" width="3.6640625" customWidth="1"/>
    <col min="5" max="24" width="17.33203125" customWidth="1"/>
    <col min="25" max="25" width="18.5546875" customWidth="1"/>
  </cols>
  <sheetData>
    <row r="1" spans="1:106" s="187" customFormat="1" ht="15.75" customHeight="1" x14ac:dyDescent="0.3">
      <c r="B1" s="189"/>
      <c r="C1" s="189"/>
      <c r="D1" s="189"/>
      <c r="E1" s="189"/>
      <c r="F1" s="189"/>
      <c r="G1" s="189"/>
      <c r="H1" s="189"/>
      <c r="I1" s="190"/>
      <c r="J1" s="189"/>
      <c r="K1" s="189"/>
      <c r="L1" s="189"/>
      <c r="M1" s="189"/>
      <c r="N1" s="189"/>
      <c r="O1" s="189"/>
      <c r="P1" s="189"/>
      <c r="Q1" s="189"/>
      <c r="R1" s="189"/>
      <c r="S1" s="189"/>
      <c r="T1" s="189"/>
      <c r="U1" s="189"/>
      <c r="V1" s="189"/>
      <c r="W1" s="189"/>
      <c r="X1" s="189"/>
      <c r="Y1" s="189"/>
    </row>
    <row r="2" spans="1:106" s="188" customFormat="1" ht="15.75" customHeight="1" x14ac:dyDescent="0.3">
      <c r="A2" s="187"/>
      <c r="B2" s="526" t="str">
        <f>+FLUJO!B4</f>
        <v>1 de junio 2026</v>
      </c>
      <c r="C2" s="527"/>
      <c r="D2" s="6"/>
      <c r="E2" s="322">
        <f>+FLUJO!C4</f>
        <v>2027</v>
      </c>
      <c r="F2" s="322">
        <f>+FLUJO!D4</f>
        <v>2028</v>
      </c>
      <c r="G2" s="322">
        <f>+FLUJO!E4</f>
        <v>2029</v>
      </c>
      <c r="H2" s="322">
        <f>+FLUJO!F4</f>
        <v>2030</v>
      </c>
      <c r="I2" s="322">
        <f>+FLUJO!G4</f>
        <v>2031</v>
      </c>
      <c r="J2" s="322">
        <f>+FLUJO!H4</f>
        <v>2032</v>
      </c>
      <c r="K2" s="322">
        <f>+FLUJO!I4</f>
        <v>2033</v>
      </c>
      <c r="L2" s="322">
        <f>+FLUJO!J4</f>
        <v>2034</v>
      </c>
      <c r="M2" s="322">
        <f>+FLUJO!K4</f>
        <v>2035</v>
      </c>
      <c r="N2" s="322">
        <f>+FLUJO!L4</f>
        <v>2036</v>
      </c>
      <c r="O2" s="322">
        <f>+FLUJO!M4</f>
        <v>2037</v>
      </c>
      <c r="P2" s="322">
        <f>+FLUJO!N4</f>
        <v>2038</v>
      </c>
      <c r="Q2" s="322">
        <f>+FLUJO!O4</f>
        <v>2039</v>
      </c>
      <c r="R2" s="322">
        <f>+FLUJO!P4</f>
        <v>2040</v>
      </c>
      <c r="S2" s="322">
        <f>+FLUJO!Q4</f>
        <v>2041</v>
      </c>
      <c r="T2" s="322">
        <f>+FLUJO!R4</f>
        <v>2042</v>
      </c>
      <c r="U2" s="322">
        <f>+FLUJO!S4</f>
        <v>2043</v>
      </c>
      <c r="V2" s="322">
        <f>+FLUJO!T4</f>
        <v>2044</v>
      </c>
      <c r="W2" s="322">
        <f>+FLUJO!U4</f>
        <v>2045</v>
      </c>
      <c r="X2" s="322">
        <f>+FLUJO!V4</f>
        <v>2046</v>
      </c>
      <c r="Y2" s="514"/>
      <c r="Z2" s="187"/>
      <c r="AA2" s="187"/>
      <c r="AB2" s="187"/>
      <c r="AC2" s="187"/>
      <c r="AD2" s="187"/>
      <c r="AE2" s="187"/>
      <c r="AF2" s="187"/>
      <c r="AG2" s="187"/>
      <c r="AH2" s="187"/>
      <c r="AI2" s="187"/>
      <c r="AJ2" s="187"/>
      <c r="AK2" s="187"/>
      <c r="AL2" s="187"/>
      <c r="AM2" s="187"/>
      <c r="AN2" s="187"/>
      <c r="AO2" s="187"/>
      <c r="AP2" s="187"/>
      <c r="AQ2" s="187"/>
      <c r="AR2" s="187"/>
      <c r="AS2" s="187"/>
      <c r="AT2" s="187"/>
      <c r="AU2" s="187"/>
      <c r="AV2" s="187"/>
      <c r="AW2" s="187"/>
      <c r="AX2" s="187"/>
      <c r="AY2" s="187"/>
      <c r="AZ2" s="187"/>
      <c r="BA2" s="187"/>
      <c r="BB2" s="187"/>
      <c r="BC2" s="187"/>
      <c r="BD2" s="187"/>
      <c r="BE2" s="187"/>
      <c r="BF2" s="187"/>
      <c r="BG2" s="187"/>
      <c r="BH2" s="187"/>
      <c r="BI2" s="187"/>
      <c r="BJ2" s="187"/>
      <c r="BK2" s="187"/>
      <c r="BL2" s="187"/>
      <c r="BM2" s="187"/>
      <c r="BN2" s="187"/>
      <c r="BO2" s="187"/>
      <c r="BP2" s="187"/>
      <c r="BQ2" s="187"/>
      <c r="BR2" s="187"/>
      <c r="BS2" s="187"/>
      <c r="BT2" s="187"/>
      <c r="BU2" s="187"/>
      <c r="BV2" s="187"/>
      <c r="BW2" s="187"/>
      <c r="BX2" s="187"/>
      <c r="BY2" s="187"/>
      <c r="BZ2" s="187"/>
      <c r="CA2" s="187"/>
      <c r="CB2" s="187"/>
      <c r="CC2" s="187"/>
      <c r="CD2" s="187"/>
      <c r="CE2" s="187"/>
      <c r="CF2" s="187"/>
      <c r="CG2" s="187"/>
      <c r="CH2" s="187"/>
      <c r="CI2" s="187"/>
      <c r="CJ2" s="187"/>
      <c r="CK2" s="187"/>
      <c r="CL2" s="187"/>
      <c r="CM2" s="187"/>
      <c r="CN2" s="187"/>
      <c r="CO2" s="187"/>
      <c r="CP2" s="187"/>
      <c r="CQ2" s="187"/>
      <c r="CR2" s="187"/>
      <c r="CS2" s="187"/>
      <c r="CT2" s="187"/>
      <c r="CU2" s="187"/>
      <c r="CV2" s="187"/>
      <c r="CW2" s="187"/>
      <c r="CX2" s="187"/>
      <c r="CY2" s="187"/>
      <c r="CZ2" s="187"/>
      <c r="DA2" s="187"/>
      <c r="DB2" s="187"/>
    </row>
    <row r="3" spans="1:106" s="188" customFormat="1" ht="14.25" customHeight="1" x14ac:dyDescent="0.25">
      <c r="A3" s="187"/>
      <c r="B3" s="526" t="str">
        <f>+CONTROL!B2</f>
        <v>TIR Nominal (con IVA)</v>
      </c>
      <c r="C3" s="527"/>
      <c r="D3" s="6"/>
      <c r="E3" s="193">
        <f>+FLUJO!C5</f>
        <v>46388</v>
      </c>
      <c r="F3" s="193">
        <f>+FLUJO!D5</f>
        <v>46753</v>
      </c>
      <c r="G3" s="195">
        <f>+FLUJO!E5</f>
        <v>47119</v>
      </c>
      <c r="H3" s="195">
        <f>+FLUJO!F5</f>
        <v>47484</v>
      </c>
      <c r="I3" s="195">
        <f>+FLUJO!G5</f>
        <v>47849</v>
      </c>
      <c r="J3" s="195">
        <f>+FLUJO!H5</f>
        <v>48214</v>
      </c>
      <c r="K3" s="195">
        <f>+FLUJO!I5</f>
        <v>48580</v>
      </c>
      <c r="L3" s="195">
        <f>+FLUJO!J5</f>
        <v>48945</v>
      </c>
      <c r="M3" s="195">
        <f>+FLUJO!K5</f>
        <v>49310</v>
      </c>
      <c r="N3" s="195">
        <f>+FLUJO!L5</f>
        <v>49675</v>
      </c>
      <c r="O3" s="195">
        <f>+FLUJO!M5</f>
        <v>50041</v>
      </c>
      <c r="P3" s="195">
        <f>+FLUJO!N5</f>
        <v>50406</v>
      </c>
      <c r="Q3" s="195">
        <f>+FLUJO!O5</f>
        <v>50771</v>
      </c>
      <c r="R3" s="195">
        <f>+FLUJO!P5</f>
        <v>51136</v>
      </c>
      <c r="S3" s="195">
        <f>+FLUJO!Q5</f>
        <v>51502</v>
      </c>
      <c r="T3" s="195">
        <f>+FLUJO!R5</f>
        <v>51867</v>
      </c>
      <c r="U3" s="195">
        <f>+FLUJO!S5</f>
        <v>52232</v>
      </c>
      <c r="V3" s="195">
        <f>+FLUJO!T5</f>
        <v>52597</v>
      </c>
      <c r="W3" s="195">
        <f>+FLUJO!U5</f>
        <v>52963</v>
      </c>
      <c r="X3" s="195">
        <f>+FLUJO!V5</f>
        <v>53328</v>
      </c>
      <c r="Y3" s="527"/>
      <c r="Z3" s="187"/>
      <c r="AA3" s="187"/>
      <c r="AB3" s="187"/>
      <c r="AC3" s="187"/>
      <c r="AD3" s="187"/>
      <c r="AE3" s="187"/>
      <c r="AF3" s="187"/>
      <c r="AG3" s="187"/>
      <c r="AH3" s="187"/>
      <c r="AI3" s="187"/>
      <c r="AJ3" s="187"/>
      <c r="AK3" s="187"/>
      <c r="AL3" s="187"/>
      <c r="AM3" s="187"/>
      <c r="AN3" s="187"/>
      <c r="AO3" s="187"/>
      <c r="AP3" s="187"/>
      <c r="AQ3" s="187"/>
      <c r="AR3" s="187"/>
      <c r="AS3" s="187"/>
      <c r="AT3" s="187"/>
      <c r="AU3" s="187"/>
      <c r="AV3" s="187"/>
      <c r="AW3" s="187"/>
      <c r="AX3" s="187"/>
      <c r="AY3" s="187"/>
      <c r="AZ3" s="187"/>
      <c r="BA3" s="187"/>
      <c r="BB3" s="187"/>
      <c r="BC3" s="187"/>
      <c r="BD3" s="187"/>
      <c r="BE3" s="187"/>
      <c r="BF3" s="187"/>
      <c r="BG3" s="187"/>
      <c r="BH3" s="187"/>
      <c r="BI3" s="187"/>
      <c r="BJ3" s="187"/>
      <c r="BK3" s="187"/>
      <c r="BL3" s="187"/>
      <c r="BM3" s="187"/>
      <c r="BN3" s="187"/>
      <c r="BO3" s="187"/>
      <c r="BP3" s="187"/>
      <c r="BQ3" s="187"/>
      <c r="BR3" s="187"/>
      <c r="BS3" s="187"/>
      <c r="BT3" s="187"/>
      <c r="BU3" s="187"/>
      <c r="BV3" s="187"/>
      <c r="BW3" s="187"/>
      <c r="BX3" s="187"/>
      <c r="BY3" s="187"/>
      <c r="BZ3" s="187"/>
      <c r="CA3" s="187"/>
      <c r="CB3" s="187"/>
      <c r="CC3" s="187"/>
      <c r="CD3" s="187"/>
      <c r="CE3" s="187"/>
      <c r="CF3" s="187"/>
      <c r="CG3" s="187"/>
      <c r="CH3" s="187"/>
      <c r="CI3" s="187"/>
      <c r="CJ3" s="187"/>
      <c r="CK3" s="187"/>
      <c r="CL3" s="187"/>
      <c r="CM3" s="187"/>
      <c r="CN3" s="187"/>
      <c r="CO3" s="187"/>
      <c r="CP3" s="187"/>
      <c r="CQ3" s="187"/>
      <c r="CR3" s="187"/>
      <c r="CS3" s="187"/>
      <c r="CT3" s="187"/>
      <c r="CU3" s="187"/>
      <c r="CV3" s="187"/>
      <c r="CW3" s="187"/>
      <c r="CX3" s="187"/>
      <c r="CY3" s="187"/>
      <c r="CZ3" s="187"/>
      <c r="DA3" s="187"/>
      <c r="DB3" s="187"/>
    </row>
    <row r="4" spans="1:106" s="188" customFormat="1" ht="15" customHeight="1" x14ac:dyDescent="0.25">
      <c r="A4" s="187"/>
      <c r="B4" s="532">
        <f>+FLUJO!B6</f>
        <v>2.2128474741156055</v>
      </c>
      <c r="C4" s="527"/>
      <c r="D4" s="4"/>
      <c r="E4" s="195">
        <f>+FLUJO!C6</f>
        <v>46752</v>
      </c>
      <c r="F4" s="195">
        <f>+FLUJO!D6</f>
        <v>47118</v>
      </c>
      <c r="G4" s="195">
        <f>+FLUJO!E6</f>
        <v>47483</v>
      </c>
      <c r="H4" s="195">
        <f>+FLUJO!F6</f>
        <v>47848</v>
      </c>
      <c r="I4" s="195">
        <f>+FLUJO!G6</f>
        <v>48213</v>
      </c>
      <c r="J4" s="195">
        <f>+FLUJO!H6</f>
        <v>48579</v>
      </c>
      <c r="K4" s="195">
        <f>+FLUJO!I6</f>
        <v>48944</v>
      </c>
      <c r="L4" s="195">
        <f>+FLUJO!J6</f>
        <v>49309</v>
      </c>
      <c r="M4" s="195">
        <f>+FLUJO!K6</f>
        <v>49674</v>
      </c>
      <c r="N4" s="195">
        <f>+FLUJO!L6</f>
        <v>50040</v>
      </c>
      <c r="O4" s="195">
        <f>+FLUJO!M6</f>
        <v>50405</v>
      </c>
      <c r="P4" s="195">
        <f>+FLUJO!N6</f>
        <v>50770</v>
      </c>
      <c r="Q4" s="195">
        <f>+FLUJO!O6</f>
        <v>51135</v>
      </c>
      <c r="R4" s="195">
        <f>+FLUJO!P6</f>
        <v>51501</v>
      </c>
      <c r="S4" s="195">
        <f>+FLUJO!Q6</f>
        <v>51866</v>
      </c>
      <c r="T4" s="195">
        <f>+FLUJO!R6</f>
        <v>52231</v>
      </c>
      <c r="U4" s="195">
        <f>+FLUJO!S6</f>
        <v>52596</v>
      </c>
      <c r="V4" s="195">
        <f>+FLUJO!T6</f>
        <v>52962</v>
      </c>
      <c r="W4" s="195">
        <f>+FLUJO!U6</f>
        <v>53327</v>
      </c>
      <c r="X4" s="195">
        <f>+FLUJO!V6</f>
        <v>53692</v>
      </c>
      <c r="Y4" s="527"/>
      <c r="Z4" s="187"/>
      <c r="AA4" s="187"/>
      <c r="AB4" s="187"/>
      <c r="AC4" s="187"/>
      <c r="AD4" s="187"/>
      <c r="AE4" s="187"/>
      <c r="AF4" s="187"/>
      <c r="AG4" s="187"/>
      <c r="AH4" s="187"/>
      <c r="AI4" s="187"/>
      <c r="AJ4" s="187"/>
      <c r="AK4" s="187"/>
      <c r="AL4" s="187"/>
      <c r="AM4" s="187"/>
      <c r="AN4" s="187"/>
      <c r="AO4" s="187"/>
      <c r="AP4" s="187"/>
      <c r="AQ4" s="187"/>
      <c r="AR4" s="187"/>
      <c r="AS4" s="187"/>
      <c r="AT4" s="187"/>
      <c r="AU4" s="187"/>
      <c r="AV4" s="187"/>
      <c r="AW4" s="187"/>
      <c r="AX4" s="187"/>
      <c r="AY4" s="187"/>
      <c r="AZ4" s="187"/>
      <c r="BA4" s="187"/>
      <c r="BB4" s="187"/>
      <c r="BC4" s="187"/>
      <c r="BD4" s="187"/>
      <c r="BE4" s="187"/>
      <c r="BF4" s="187"/>
      <c r="BG4" s="187"/>
      <c r="BH4" s="187"/>
      <c r="BI4" s="187"/>
      <c r="BJ4" s="187"/>
      <c r="BK4" s="187"/>
      <c r="BL4" s="187"/>
      <c r="BM4" s="187"/>
      <c r="BN4" s="187"/>
      <c r="BO4" s="187"/>
      <c r="BP4" s="187"/>
      <c r="BQ4" s="187"/>
      <c r="BR4" s="187"/>
      <c r="BS4" s="187"/>
      <c r="BT4" s="187"/>
      <c r="BU4" s="187"/>
      <c r="BV4" s="187"/>
      <c r="BW4" s="187"/>
      <c r="BX4" s="187"/>
      <c r="BY4" s="187"/>
      <c r="BZ4" s="187"/>
      <c r="CA4" s="187"/>
      <c r="CB4" s="187"/>
      <c r="CC4" s="187"/>
      <c r="CD4" s="187"/>
      <c r="CE4" s="187"/>
      <c r="CF4" s="187"/>
      <c r="CG4" s="187"/>
      <c r="CH4" s="187"/>
      <c r="CI4" s="187"/>
      <c r="CJ4" s="187"/>
      <c r="CK4" s="187"/>
      <c r="CL4" s="187"/>
      <c r="CM4" s="187"/>
      <c r="CN4" s="187"/>
      <c r="CO4" s="187"/>
      <c r="CP4" s="187"/>
      <c r="CQ4" s="187"/>
      <c r="CR4" s="187"/>
      <c r="CS4" s="187"/>
      <c r="CT4" s="187"/>
      <c r="CU4" s="187"/>
      <c r="CV4" s="187"/>
      <c r="CW4" s="187"/>
      <c r="CX4" s="187"/>
      <c r="CY4" s="187"/>
      <c r="CZ4" s="187"/>
      <c r="DA4" s="187"/>
      <c r="DB4" s="187"/>
    </row>
    <row r="5" spans="1:106" s="187" customFormat="1" ht="15" customHeight="1" x14ac:dyDescent="0.25">
      <c r="B5" s="196"/>
      <c r="C5" s="196"/>
      <c r="D5" s="196"/>
      <c r="E5" s="197"/>
      <c r="F5" s="197"/>
      <c r="G5" s="197"/>
      <c r="H5" s="197"/>
      <c r="I5" s="197"/>
      <c r="J5" s="197"/>
      <c r="K5" s="197"/>
      <c r="L5" s="197"/>
      <c r="M5" s="197"/>
      <c r="N5" s="197"/>
      <c r="O5" s="197"/>
      <c r="P5" s="197"/>
      <c r="Q5" s="197"/>
      <c r="R5" s="197"/>
      <c r="S5" s="197"/>
      <c r="T5" s="197"/>
      <c r="U5" s="197"/>
      <c r="V5" s="197"/>
      <c r="W5" s="197"/>
      <c r="X5" s="197"/>
      <c r="Y5" s="5"/>
    </row>
    <row r="6" spans="1:106" s="187" customFormat="1" ht="14.25" customHeight="1" x14ac:dyDescent="0.25">
      <c r="B6" s="525" t="s">
        <v>98</v>
      </c>
      <c r="C6" s="515"/>
      <c r="D6" s="3"/>
      <c r="E6" s="203">
        <v>1</v>
      </c>
      <c r="F6" s="203">
        <v>2</v>
      </c>
      <c r="G6" s="203">
        <v>3</v>
      </c>
      <c r="H6" s="203">
        <v>4</v>
      </c>
      <c r="I6" s="203">
        <v>5</v>
      </c>
      <c r="J6" s="203">
        <v>6</v>
      </c>
      <c r="K6" s="203">
        <v>7</v>
      </c>
      <c r="L6" s="203">
        <v>8</v>
      </c>
      <c r="M6" s="203">
        <v>9</v>
      </c>
      <c r="N6" s="203">
        <v>10</v>
      </c>
      <c r="O6" s="203">
        <v>11</v>
      </c>
      <c r="P6" s="203">
        <v>12</v>
      </c>
      <c r="Q6" s="203">
        <v>13</v>
      </c>
      <c r="R6" s="203">
        <v>14</v>
      </c>
      <c r="S6" s="203">
        <v>15</v>
      </c>
      <c r="T6" s="203">
        <v>16</v>
      </c>
      <c r="U6" s="203">
        <v>17</v>
      </c>
      <c r="V6" s="203">
        <v>18</v>
      </c>
      <c r="W6" s="203">
        <v>19</v>
      </c>
      <c r="X6" s="203">
        <v>20</v>
      </c>
      <c r="Y6" s="5"/>
    </row>
    <row r="7" spans="1:106" s="187" customFormat="1" ht="12.75" customHeight="1" outlineLevel="1" x14ac:dyDescent="0.25">
      <c r="B7" s="528" t="s">
        <v>99</v>
      </c>
      <c r="C7" s="515"/>
      <c r="D7" s="2"/>
      <c r="E7" s="202">
        <f t="shared" ref="E7:X7" si="0">+E4-E3+1</f>
        <v>365</v>
      </c>
      <c r="F7" s="203">
        <f t="shared" si="0"/>
        <v>366</v>
      </c>
      <c r="G7" s="203">
        <f t="shared" si="0"/>
        <v>365</v>
      </c>
      <c r="H7" s="203">
        <f t="shared" si="0"/>
        <v>365</v>
      </c>
      <c r="I7" s="203">
        <f t="shared" si="0"/>
        <v>365</v>
      </c>
      <c r="J7" s="203">
        <f t="shared" si="0"/>
        <v>366</v>
      </c>
      <c r="K7" s="203">
        <f t="shared" si="0"/>
        <v>365</v>
      </c>
      <c r="L7" s="203">
        <f t="shared" si="0"/>
        <v>365</v>
      </c>
      <c r="M7" s="203">
        <f t="shared" si="0"/>
        <v>365</v>
      </c>
      <c r="N7" s="203">
        <f t="shared" si="0"/>
        <v>366</v>
      </c>
      <c r="O7" s="203">
        <f t="shared" si="0"/>
        <v>365</v>
      </c>
      <c r="P7" s="203">
        <f t="shared" si="0"/>
        <v>365</v>
      </c>
      <c r="Q7" s="203">
        <f t="shared" si="0"/>
        <v>365</v>
      </c>
      <c r="R7" s="203">
        <f t="shared" si="0"/>
        <v>366</v>
      </c>
      <c r="S7" s="203">
        <f t="shared" si="0"/>
        <v>365</v>
      </c>
      <c r="T7" s="203">
        <f t="shared" si="0"/>
        <v>365</v>
      </c>
      <c r="U7" s="203">
        <f t="shared" si="0"/>
        <v>365</v>
      </c>
      <c r="V7" s="203">
        <f t="shared" si="0"/>
        <v>366</v>
      </c>
      <c r="W7" s="203">
        <f t="shared" si="0"/>
        <v>365</v>
      </c>
      <c r="X7" s="203">
        <f t="shared" si="0"/>
        <v>365</v>
      </c>
      <c r="Y7" s="5"/>
    </row>
    <row r="8" spans="1:106" s="187" customFormat="1" ht="12.75" customHeight="1" outlineLevel="1" x14ac:dyDescent="0.25">
      <c r="B8" s="528" t="s">
        <v>100</v>
      </c>
      <c r="C8" s="515"/>
      <c r="D8" s="2"/>
      <c r="E8" s="203">
        <f>+-E3+E4+1</f>
        <v>365</v>
      </c>
      <c r="F8" s="203">
        <f t="shared" ref="F8:O9" si="1">+F7</f>
        <v>366</v>
      </c>
      <c r="G8" s="203">
        <f t="shared" si="1"/>
        <v>365</v>
      </c>
      <c r="H8" s="203">
        <f t="shared" si="1"/>
        <v>365</v>
      </c>
      <c r="I8" s="203">
        <f t="shared" si="1"/>
        <v>365</v>
      </c>
      <c r="J8" s="203">
        <f t="shared" si="1"/>
        <v>366</v>
      </c>
      <c r="K8" s="203">
        <f t="shared" si="1"/>
        <v>365</v>
      </c>
      <c r="L8" s="203">
        <f t="shared" si="1"/>
        <v>365</v>
      </c>
      <c r="M8" s="203">
        <f t="shared" si="1"/>
        <v>365</v>
      </c>
      <c r="N8" s="203">
        <f t="shared" si="1"/>
        <v>366</v>
      </c>
      <c r="O8" s="203">
        <f t="shared" si="1"/>
        <v>365</v>
      </c>
      <c r="P8" s="203">
        <f t="shared" ref="P8:Y9" si="2">+P7</f>
        <v>365</v>
      </c>
      <c r="Q8" s="203">
        <f t="shared" si="2"/>
        <v>365</v>
      </c>
      <c r="R8" s="203">
        <f t="shared" si="2"/>
        <v>366</v>
      </c>
      <c r="S8" s="203">
        <f t="shared" si="2"/>
        <v>365</v>
      </c>
      <c r="T8" s="203">
        <f t="shared" si="2"/>
        <v>365</v>
      </c>
      <c r="U8" s="203">
        <f t="shared" si="2"/>
        <v>365</v>
      </c>
      <c r="V8" s="203">
        <f t="shared" si="2"/>
        <v>366</v>
      </c>
      <c r="W8" s="203">
        <f t="shared" si="2"/>
        <v>365</v>
      </c>
      <c r="X8" s="203">
        <f t="shared" si="2"/>
        <v>365</v>
      </c>
      <c r="Y8" s="5"/>
    </row>
    <row r="9" spans="1:106" s="187" customFormat="1" ht="12.75" customHeight="1" outlineLevel="1" x14ac:dyDescent="0.25">
      <c r="B9" s="528" t="s">
        <v>101</v>
      </c>
      <c r="C9" s="515"/>
      <c r="D9" s="2"/>
      <c r="E9" s="203">
        <f>+E8</f>
        <v>365</v>
      </c>
      <c r="F9" s="203">
        <f t="shared" si="1"/>
        <v>366</v>
      </c>
      <c r="G9" s="203">
        <f t="shared" si="1"/>
        <v>365</v>
      </c>
      <c r="H9" s="203">
        <f t="shared" si="1"/>
        <v>365</v>
      </c>
      <c r="I9" s="203">
        <f t="shared" si="1"/>
        <v>365</v>
      </c>
      <c r="J9" s="203">
        <f t="shared" si="1"/>
        <v>366</v>
      </c>
      <c r="K9" s="203">
        <f t="shared" si="1"/>
        <v>365</v>
      </c>
      <c r="L9" s="203">
        <f t="shared" si="1"/>
        <v>365</v>
      </c>
      <c r="M9" s="203">
        <f t="shared" si="1"/>
        <v>365</v>
      </c>
      <c r="N9" s="203">
        <f t="shared" si="1"/>
        <v>366</v>
      </c>
      <c r="O9" s="203">
        <f t="shared" si="1"/>
        <v>365</v>
      </c>
      <c r="P9" s="203">
        <f t="shared" si="2"/>
        <v>365</v>
      </c>
      <c r="Q9" s="203">
        <f t="shared" si="2"/>
        <v>365</v>
      </c>
      <c r="R9" s="203">
        <f t="shared" si="2"/>
        <v>366</v>
      </c>
      <c r="S9" s="203">
        <f t="shared" si="2"/>
        <v>365</v>
      </c>
      <c r="T9" s="203">
        <f t="shared" si="2"/>
        <v>365</v>
      </c>
      <c r="U9" s="203">
        <f t="shared" si="2"/>
        <v>365</v>
      </c>
      <c r="V9" s="203">
        <f t="shared" si="2"/>
        <v>366</v>
      </c>
      <c r="W9" s="203">
        <f t="shared" si="2"/>
        <v>365</v>
      </c>
      <c r="X9" s="203">
        <f t="shared" si="2"/>
        <v>365</v>
      </c>
      <c r="Y9" s="5"/>
    </row>
    <row r="10" spans="1:106" s="187" customFormat="1" ht="12.75" customHeight="1" outlineLevel="1" x14ac:dyDescent="0.25">
      <c r="B10" s="529" t="s">
        <v>102</v>
      </c>
      <c r="C10" s="515"/>
      <c r="D10" s="1"/>
      <c r="E10" s="323">
        <f>+HIPOTESIS!C11</f>
        <v>1</v>
      </c>
      <c r="F10" s="323">
        <f>+HIPOTESIS!D11</f>
        <v>1</v>
      </c>
      <c r="G10" s="323">
        <f>+HIPOTESIS!E11</f>
        <v>1</v>
      </c>
      <c r="H10" s="323">
        <f>+HIPOTESIS!F11</f>
        <v>1</v>
      </c>
      <c r="I10" s="323">
        <f>+HIPOTESIS!G11</f>
        <v>1</v>
      </c>
      <c r="J10" s="323">
        <f>+HIPOTESIS!H11</f>
        <v>1</v>
      </c>
      <c r="K10" s="323">
        <f>+HIPOTESIS!I11</f>
        <v>1</v>
      </c>
      <c r="L10" s="323">
        <f>+HIPOTESIS!J11</f>
        <v>1</v>
      </c>
      <c r="M10" s="323">
        <f>+HIPOTESIS!K11</f>
        <v>1</v>
      </c>
      <c r="N10" s="323">
        <f>+HIPOTESIS!L11</f>
        <v>1</v>
      </c>
      <c r="O10" s="323">
        <f>+HIPOTESIS!M11</f>
        <v>1</v>
      </c>
      <c r="P10" s="323">
        <f>+HIPOTESIS!N11</f>
        <v>1</v>
      </c>
      <c r="Q10" s="323">
        <f>+HIPOTESIS!O11</f>
        <v>1</v>
      </c>
      <c r="R10" s="323">
        <f>+HIPOTESIS!P11</f>
        <v>1</v>
      </c>
      <c r="S10" s="323">
        <f>+HIPOTESIS!Q11</f>
        <v>1</v>
      </c>
      <c r="T10" s="323">
        <f>+HIPOTESIS!R11</f>
        <v>1</v>
      </c>
      <c r="U10" s="323">
        <f>+HIPOTESIS!S11</f>
        <v>1</v>
      </c>
      <c r="V10" s="323">
        <f>+HIPOTESIS!T11</f>
        <v>1</v>
      </c>
      <c r="W10" s="323">
        <f>+HIPOTESIS!U11</f>
        <v>1</v>
      </c>
      <c r="X10" s="323">
        <f>+HIPOTESIS!V11</f>
        <v>1</v>
      </c>
      <c r="Y10" s="5"/>
    </row>
    <row r="11" spans="1:106" s="187" customFormat="1" ht="12.75" customHeight="1" outlineLevel="1" x14ac:dyDescent="0.25">
      <c r="B11" s="529" t="s">
        <v>103</v>
      </c>
      <c r="C11" s="515"/>
      <c r="D11" s="1"/>
      <c r="E11" s="324">
        <f>+HIPOTESIS!C12</f>
        <v>1</v>
      </c>
      <c r="F11" s="323">
        <f>+HIPOTESIS!D12</f>
        <v>1</v>
      </c>
      <c r="G11" s="323">
        <f>+HIPOTESIS!E12</f>
        <v>1</v>
      </c>
      <c r="H11" s="323">
        <f>+HIPOTESIS!F12</f>
        <v>1</v>
      </c>
      <c r="I11" s="323">
        <f>+HIPOTESIS!G12</f>
        <v>1</v>
      </c>
      <c r="J11" s="323">
        <f>+HIPOTESIS!H12</f>
        <v>1</v>
      </c>
      <c r="K11" s="323">
        <f>+HIPOTESIS!I12</f>
        <v>1</v>
      </c>
      <c r="L11" s="323">
        <f>+HIPOTESIS!J12</f>
        <v>1</v>
      </c>
      <c r="M11" s="323">
        <f>+HIPOTESIS!K12</f>
        <v>1</v>
      </c>
      <c r="N11" s="323">
        <f>+HIPOTESIS!L12</f>
        <v>1</v>
      </c>
      <c r="O11" s="323">
        <f>+HIPOTESIS!M12</f>
        <v>1</v>
      </c>
      <c r="P11" s="323">
        <f>+HIPOTESIS!N12</f>
        <v>1</v>
      </c>
      <c r="Q11" s="323">
        <f>+HIPOTESIS!O12</f>
        <v>1</v>
      </c>
      <c r="R11" s="323">
        <f>+HIPOTESIS!P12</f>
        <v>1</v>
      </c>
      <c r="S11" s="323">
        <f>+HIPOTESIS!Q12</f>
        <v>1</v>
      </c>
      <c r="T11" s="323">
        <f>+HIPOTESIS!R12</f>
        <v>1</v>
      </c>
      <c r="U11" s="323">
        <f>+HIPOTESIS!S12</f>
        <v>1</v>
      </c>
      <c r="V11" s="323">
        <f>+HIPOTESIS!T12</f>
        <v>1</v>
      </c>
      <c r="W11" s="323">
        <f>+HIPOTESIS!U12</f>
        <v>1</v>
      </c>
      <c r="X11" s="323">
        <f>+HIPOTESIS!V12</f>
        <v>1</v>
      </c>
      <c r="Y11" s="5"/>
    </row>
    <row r="12" spans="1:106" s="187" customFormat="1" ht="12.75" customHeight="1" outlineLevel="1" x14ac:dyDescent="0.25">
      <c r="B12" s="529" t="s">
        <v>104</v>
      </c>
      <c r="C12" s="515"/>
      <c r="D12" s="1"/>
      <c r="E12" s="324">
        <f>+HIPOTESIS!C13</f>
        <v>1</v>
      </c>
      <c r="F12" s="323">
        <f>+HIPOTESIS!D13</f>
        <v>1</v>
      </c>
      <c r="G12" s="323">
        <f>+HIPOTESIS!E13</f>
        <v>1</v>
      </c>
      <c r="H12" s="323">
        <f>+HIPOTESIS!F13</f>
        <v>1</v>
      </c>
      <c r="I12" s="323">
        <f>+HIPOTESIS!G13</f>
        <v>1</v>
      </c>
      <c r="J12" s="323">
        <f>+HIPOTESIS!H13</f>
        <v>1</v>
      </c>
      <c r="K12" s="323">
        <f>+HIPOTESIS!I13</f>
        <v>1</v>
      </c>
      <c r="L12" s="323">
        <f>+HIPOTESIS!J13</f>
        <v>1</v>
      </c>
      <c r="M12" s="323">
        <f>+HIPOTESIS!K13</f>
        <v>1</v>
      </c>
      <c r="N12" s="323">
        <f>+HIPOTESIS!L13</f>
        <v>1</v>
      </c>
      <c r="O12" s="323">
        <f>+HIPOTESIS!M13</f>
        <v>1</v>
      </c>
      <c r="P12" s="323">
        <f>+HIPOTESIS!N13</f>
        <v>1</v>
      </c>
      <c r="Q12" s="323">
        <f>+HIPOTESIS!O13</f>
        <v>1</v>
      </c>
      <c r="R12" s="323">
        <f>+HIPOTESIS!P13</f>
        <v>1</v>
      </c>
      <c r="S12" s="323">
        <f>+HIPOTESIS!Q13</f>
        <v>1</v>
      </c>
      <c r="T12" s="323">
        <f>+HIPOTESIS!R13</f>
        <v>1</v>
      </c>
      <c r="U12" s="323">
        <f>+HIPOTESIS!S13</f>
        <v>1</v>
      </c>
      <c r="V12" s="323">
        <f>+HIPOTESIS!T13</f>
        <v>1</v>
      </c>
      <c r="W12" s="323">
        <f>+HIPOTESIS!U13</f>
        <v>1</v>
      </c>
      <c r="X12" s="323">
        <f>+HIPOTESIS!V13</f>
        <v>1</v>
      </c>
      <c r="Y12" s="5"/>
    </row>
    <row r="13" spans="1:106" s="187" customFormat="1" ht="12.75" customHeight="1" x14ac:dyDescent="0.25">
      <c r="B13" s="1"/>
      <c r="C13" s="1"/>
      <c r="D13" s="1"/>
      <c r="E13" s="134"/>
      <c r="F13" s="134"/>
      <c r="G13" s="134"/>
      <c r="H13" s="134"/>
      <c r="I13" s="134"/>
      <c r="J13" s="134"/>
      <c r="K13" s="134"/>
      <c r="L13" s="134"/>
      <c r="M13" s="134"/>
      <c r="N13" s="134"/>
      <c r="O13" s="134"/>
      <c r="P13" s="134"/>
      <c r="Q13" s="134"/>
      <c r="R13" s="134"/>
      <c r="S13" s="134"/>
      <c r="T13" s="134"/>
      <c r="U13" s="134"/>
      <c r="V13" s="134"/>
      <c r="W13" s="134"/>
      <c r="X13" s="134"/>
      <c r="Y13" s="5"/>
    </row>
    <row r="14" spans="1:106" s="5" customFormat="1" ht="12.75" customHeight="1" x14ac:dyDescent="0.25">
      <c r="B14" s="325" t="s">
        <v>218</v>
      </c>
      <c r="C14" s="326">
        <f>+CONTROL!C32</f>
        <v>0</v>
      </c>
      <c r="D14" s="326"/>
      <c r="E14" s="204">
        <f>+C14</f>
        <v>0</v>
      </c>
      <c r="F14" s="204">
        <f t="shared" ref="F14:X14" si="3">+E14</f>
        <v>0</v>
      </c>
      <c r="G14" s="204">
        <f t="shared" si="3"/>
        <v>0</v>
      </c>
      <c r="H14" s="204">
        <f t="shared" si="3"/>
        <v>0</v>
      </c>
      <c r="I14" s="204">
        <f t="shared" si="3"/>
        <v>0</v>
      </c>
      <c r="J14" s="204">
        <f t="shared" si="3"/>
        <v>0</v>
      </c>
      <c r="K14" s="204">
        <f t="shared" si="3"/>
        <v>0</v>
      </c>
      <c r="L14" s="204">
        <f t="shared" si="3"/>
        <v>0</v>
      </c>
      <c r="M14" s="204">
        <f t="shared" si="3"/>
        <v>0</v>
      </c>
      <c r="N14" s="204">
        <f t="shared" si="3"/>
        <v>0</v>
      </c>
      <c r="O14" s="204">
        <f t="shared" si="3"/>
        <v>0</v>
      </c>
      <c r="P14" s="204">
        <f t="shared" si="3"/>
        <v>0</v>
      </c>
      <c r="Q14" s="204">
        <f t="shared" si="3"/>
        <v>0</v>
      </c>
      <c r="R14" s="204">
        <f t="shared" si="3"/>
        <v>0</v>
      </c>
      <c r="S14" s="204">
        <f t="shared" si="3"/>
        <v>0</v>
      </c>
      <c r="T14" s="204">
        <f t="shared" si="3"/>
        <v>0</v>
      </c>
      <c r="U14" s="204">
        <f t="shared" si="3"/>
        <v>0</v>
      </c>
      <c r="V14" s="204">
        <f t="shared" si="3"/>
        <v>0</v>
      </c>
      <c r="W14" s="204">
        <f t="shared" si="3"/>
        <v>0</v>
      </c>
      <c r="X14" s="204">
        <f t="shared" si="3"/>
        <v>0</v>
      </c>
    </row>
    <row r="15" spans="1:106" s="5" customFormat="1" ht="12.75" customHeight="1" x14ac:dyDescent="0.25">
      <c r="B15" s="325" t="s">
        <v>219</v>
      </c>
      <c r="C15" s="326">
        <f>+CONTROL!C33</f>
        <v>0</v>
      </c>
      <c r="D15" s="326"/>
      <c r="E15" s="204">
        <f>+C15</f>
        <v>0</v>
      </c>
      <c r="F15" s="204">
        <f t="shared" ref="F15:X15" si="4">+E15</f>
        <v>0</v>
      </c>
      <c r="G15" s="204">
        <f t="shared" si="4"/>
        <v>0</v>
      </c>
      <c r="H15" s="204">
        <f t="shared" si="4"/>
        <v>0</v>
      </c>
      <c r="I15" s="204">
        <f t="shared" si="4"/>
        <v>0</v>
      </c>
      <c r="J15" s="204">
        <f t="shared" si="4"/>
        <v>0</v>
      </c>
      <c r="K15" s="204">
        <f t="shared" si="4"/>
        <v>0</v>
      </c>
      <c r="L15" s="204">
        <f t="shared" si="4"/>
        <v>0</v>
      </c>
      <c r="M15" s="204">
        <f t="shared" si="4"/>
        <v>0</v>
      </c>
      <c r="N15" s="204">
        <f t="shared" si="4"/>
        <v>0</v>
      </c>
      <c r="O15" s="204">
        <f t="shared" si="4"/>
        <v>0</v>
      </c>
      <c r="P15" s="204">
        <f t="shared" si="4"/>
        <v>0</v>
      </c>
      <c r="Q15" s="204">
        <f t="shared" si="4"/>
        <v>0</v>
      </c>
      <c r="R15" s="204">
        <f t="shared" si="4"/>
        <v>0</v>
      </c>
      <c r="S15" s="204">
        <f t="shared" si="4"/>
        <v>0</v>
      </c>
      <c r="T15" s="204">
        <f t="shared" si="4"/>
        <v>0</v>
      </c>
      <c r="U15" s="204">
        <f t="shared" si="4"/>
        <v>0</v>
      </c>
      <c r="V15" s="204">
        <f t="shared" si="4"/>
        <v>0</v>
      </c>
      <c r="W15" s="204">
        <f t="shared" si="4"/>
        <v>0</v>
      </c>
      <c r="X15" s="204">
        <f t="shared" si="4"/>
        <v>0</v>
      </c>
    </row>
    <row r="16" spans="1:106" s="5" customFormat="1" ht="12.75" customHeight="1" x14ac:dyDescent="0.25">
      <c r="B16" s="325" t="s">
        <v>220</v>
      </c>
      <c r="C16" s="326">
        <f>+CONTROL!C34</f>
        <v>0</v>
      </c>
      <c r="D16" s="326"/>
      <c r="E16" s="204">
        <f>+C16</f>
        <v>0</v>
      </c>
      <c r="F16" s="204">
        <f t="shared" ref="F16:X16" si="5">+E16</f>
        <v>0</v>
      </c>
      <c r="G16" s="204">
        <f t="shared" si="5"/>
        <v>0</v>
      </c>
      <c r="H16" s="204">
        <f t="shared" si="5"/>
        <v>0</v>
      </c>
      <c r="I16" s="204">
        <f t="shared" si="5"/>
        <v>0</v>
      </c>
      <c r="J16" s="204">
        <f t="shared" si="5"/>
        <v>0</v>
      </c>
      <c r="K16" s="204">
        <f t="shared" si="5"/>
        <v>0</v>
      </c>
      <c r="L16" s="204">
        <f t="shared" si="5"/>
        <v>0</v>
      </c>
      <c r="M16" s="204">
        <f t="shared" si="5"/>
        <v>0</v>
      </c>
      <c r="N16" s="204">
        <f t="shared" si="5"/>
        <v>0</v>
      </c>
      <c r="O16" s="204">
        <f t="shared" si="5"/>
        <v>0</v>
      </c>
      <c r="P16" s="204">
        <f t="shared" si="5"/>
        <v>0</v>
      </c>
      <c r="Q16" s="204">
        <f t="shared" si="5"/>
        <v>0</v>
      </c>
      <c r="R16" s="204">
        <f t="shared" si="5"/>
        <v>0</v>
      </c>
      <c r="S16" s="204">
        <f t="shared" si="5"/>
        <v>0</v>
      </c>
      <c r="T16" s="204">
        <f t="shared" si="5"/>
        <v>0</v>
      </c>
      <c r="U16" s="204">
        <f t="shared" si="5"/>
        <v>0</v>
      </c>
      <c r="V16" s="204">
        <f t="shared" si="5"/>
        <v>0</v>
      </c>
      <c r="W16" s="204">
        <f t="shared" si="5"/>
        <v>0</v>
      </c>
      <c r="X16" s="204">
        <f t="shared" si="5"/>
        <v>0</v>
      </c>
    </row>
    <row r="17" spans="1:25" s="5" customFormat="1" ht="12.75" customHeight="1" x14ac:dyDescent="0.25">
      <c r="B17" s="325" t="s">
        <v>221</v>
      </c>
      <c r="C17" s="326">
        <f>+CONTROL!C35</f>
        <v>0</v>
      </c>
      <c r="D17" s="326"/>
      <c r="E17" s="204">
        <f>+C17</f>
        <v>0</v>
      </c>
      <c r="F17" s="204">
        <f t="shared" ref="F17:X17" si="6">+E17</f>
        <v>0</v>
      </c>
      <c r="G17" s="204">
        <f t="shared" si="6"/>
        <v>0</v>
      </c>
      <c r="H17" s="204">
        <f t="shared" si="6"/>
        <v>0</v>
      </c>
      <c r="I17" s="204">
        <f t="shared" si="6"/>
        <v>0</v>
      </c>
      <c r="J17" s="204">
        <f t="shared" si="6"/>
        <v>0</v>
      </c>
      <c r="K17" s="204">
        <f t="shared" si="6"/>
        <v>0</v>
      </c>
      <c r="L17" s="204">
        <f t="shared" si="6"/>
        <v>0</v>
      </c>
      <c r="M17" s="204">
        <f t="shared" si="6"/>
        <v>0</v>
      </c>
      <c r="N17" s="204">
        <f t="shared" si="6"/>
        <v>0</v>
      </c>
      <c r="O17" s="204">
        <f t="shared" si="6"/>
        <v>0</v>
      </c>
      <c r="P17" s="204">
        <f t="shared" si="6"/>
        <v>0</v>
      </c>
      <c r="Q17" s="204">
        <f t="shared" si="6"/>
        <v>0</v>
      </c>
      <c r="R17" s="204">
        <f t="shared" si="6"/>
        <v>0</v>
      </c>
      <c r="S17" s="204">
        <f t="shared" si="6"/>
        <v>0</v>
      </c>
      <c r="T17" s="204">
        <f t="shared" si="6"/>
        <v>0</v>
      </c>
      <c r="U17" s="204">
        <f t="shared" si="6"/>
        <v>0</v>
      </c>
      <c r="V17" s="204">
        <f t="shared" si="6"/>
        <v>0</v>
      </c>
      <c r="W17" s="204">
        <f t="shared" si="6"/>
        <v>0</v>
      </c>
      <c r="X17" s="204">
        <f t="shared" si="6"/>
        <v>0</v>
      </c>
    </row>
    <row r="18" spans="1:25" ht="15.75" customHeight="1" x14ac:dyDescent="0.3">
      <c r="Y18" s="382" t="s">
        <v>106</v>
      </c>
    </row>
    <row r="19" spans="1:25" ht="19.5" customHeight="1" x14ac:dyDescent="0.3">
      <c r="A19" s="328"/>
      <c r="B19" s="383" t="s">
        <v>54</v>
      </c>
      <c r="C19" s="384"/>
      <c r="D19" s="385"/>
      <c r="E19" s="230">
        <f>+INPUTS!B20*(1+E14)</f>
        <v>2124213660</v>
      </c>
      <c r="F19" s="230">
        <f>+INPUTS!C20*(1+F14)</f>
        <v>2124213660</v>
      </c>
      <c r="G19" s="230">
        <f>+INPUTS!D20*(1+G14)</f>
        <v>3540356100</v>
      </c>
      <c r="H19" s="230">
        <f>+INPUTS!E20*(1+H14)</f>
        <v>7080712200</v>
      </c>
      <c r="I19" s="230">
        <f>+INPUTS!F20*(1+I14)</f>
        <v>7080712200</v>
      </c>
      <c r="J19" s="230">
        <f>+INPUTS!G20*(1+J14)</f>
        <v>7080712200</v>
      </c>
      <c r="K19" s="230">
        <f>+INPUTS!H20*(1+K14)</f>
        <v>7080712200</v>
      </c>
      <c r="L19" s="230">
        <f>+INPUTS!I20*(1+L14)</f>
        <v>7080712200</v>
      </c>
      <c r="M19" s="230">
        <f>+INPUTS!J20*(1+M14)</f>
        <v>7080712200</v>
      </c>
      <c r="N19" s="230">
        <f>+INPUTS!K20*(1+N14)</f>
        <v>7080712200</v>
      </c>
      <c r="O19" s="230">
        <f>+INPUTS!L20*(1+O14)</f>
        <v>7080712200</v>
      </c>
      <c r="P19" s="230">
        <f>+INPUTS!M20*(1+P14)</f>
        <v>7080712200</v>
      </c>
      <c r="Q19" s="230">
        <f>+INPUTS!N20*(1+Q14)</f>
        <v>7080712200</v>
      </c>
      <c r="R19" s="230">
        <f>+INPUTS!O20*(1+R14)</f>
        <v>7080712200</v>
      </c>
      <c r="S19" s="230">
        <f>+INPUTS!P20*(1+S14)</f>
        <v>7080712200</v>
      </c>
      <c r="T19" s="230">
        <f>+INPUTS!Q20*(1+T14)</f>
        <v>7080712200</v>
      </c>
      <c r="U19" s="230">
        <f>+INPUTS!R20*(1+U14)</f>
        <v>7080712200</v>
      </c>
      <c r="V19" s="230">
        <f>+INPUTS!S20*(1+V14)</f>
        <v>7080712200</v>
      </c>
      <c r="W19" s="230">
        <f>+INPUTS!T20*(1+W14)</f>
        <v>7080712200</v>
      </c>
      <c r="X19" s="230">
        <f>+INPUTS!U20*(1+X14)</f>
        <v>7080712200</v>
      </c>
      <c r="Y19" s="213">
        <f>+SUM(E19:X19)</f>
        <v>128160890820</v>
      </c>
    </row>
    <row r="20" spans="1:25" s="389" customFormat="1" ht="19.5" customHeight="1" x14ac:dyDescent="0.3">
      <c r="A20" s="328"/>
      <c r="B20" s="386" t="s">
        <v>57</v>
      </c>
      <c r="C20" s="387"/>
      <c r="D20" s="388"/>
      <c r="E20" s="218">
        <f>+INPUTS!B24*(1+E15)</f>
        <v>524497200</v>
      </c>
      <c r="F20" s="218">
        <f>+INPUTS!C24*(1+F15)</f>
        <v>524497200</v>
      </c>
      <c r="G20" s="218">
        <f>+INPUTS!D24*(1+G15)</f>
        <v>524497200</v>
      </c>
      <c r="H20" s="218">
        <f>+INPUTS!E24*(1+H15)</f>
        <v>524497200</v>
      </c>
      <c r="I20" s="218">
        <f>+INPUTS!F24*(1+I15)</f>
        <v>524497200</v>
      </c>
      <c r="J20" s="218">
        <f>+INPUTS!G24*(1+J15)</f>
        <v>524497200</v>
      </c>
      <c r="K20" s="218">
        <f>+INPUTS!H24*(1+K15)</f>
        <v>524497200</v>
      </c>
      <c r="L20" s="218">
        <f>+INPUTS!I24*(1+L15)</f>
        <v>524497200</v>
      </c>
      <c r="M20" s="218">
        <f>+INPUTS!J24*(1+M15)</f>
        <v>524497200</v>
      </c>
      <c r="N20" s="218">
        <f>+INPUTS!K24*(1+N15)</f>
        <v>524497200</v>
      </c>
      <c r="O20" s="218">
        <f>+INPUTS!L24*(1+O15)</f>
        <v>524497200</v>
      </c>
      <c r="P20" s="218">
        <f>+INPUTS!M24*(1+P15)</f>
        <v>524497200</v>
      </c>
      <c r="Q20" s="218">
        <f>+INPUTS!N24*(1+Q15)</f>
        <v>524497200</v>
      </c>
      <c r="R20" s="218">
        <f>+INPUTS!O24*(1+R15)</f>
        <v>524497200</v>
      </c>
      <c r="S20" s="218">
        <f>+INPUTS!P24*(1+S15)</f>
        <v>524497200</v>
      </c>
      <c r="T20" s="218">
        <f>+INPUTS!Q24*(1+T15)</f>
        <v>524497200</v>
      </c>
      <c r="U20" s="218">
        <f>+INPUTS!R24*(1+U15)</f>
        <v>524497200</v>
      </c>
      <c r="V20" s="218">
        <f>+INPUTS!S24*(1+V15)</f>
        <v>524497200</v>
      </c>
      <c r="W20" s="218">
        <f>+INPUTS!T24*(1+W15)</f>
        <v>524497200</v>
      </c>
      <c r="X20" s="218">
        <f>+INPUTS!U24*(1+X15)</f>
        <v>524497200</v>
      </c>
      <c r="Y20" s="215">
        <f>+SUM(E20:X20)</f>
        <v>10489944000</v>
      </c>
    </row>
    <row r="21" spans="1:25" s="389" customFormat="1" ht="19.5" customHeight="1" x14ac:dyDescent="0.3">
      <c r="A21" s="328"/>
      <c r="B21" s="386" t="s">
        <v>58</v>
      </c>
      <c r="C21" s="387"/>
      <c r="D21" s="388"/>
      <c r="E21" s="218">
        <f>+INPUTS!B28*(1+E16)</f>
        <v>1346800000</v>
      </c>
      <c r="F21" s="218">
        <f>+INPUTS!C28*(1+F16)</f>
        <v>1346800000</v>
      </c>
      <c r="G21" s="218">
        <f>+INPUTS!D28*(1+G16)</f>
        <v>1346800000</v>
      </c>
      <c r="H21" s="218">
        <f>+INPUTS!E28*(1+H16)</f>
        <v>1346800000</v>
      </c>
      <c r="I21" s="218">
        <f>+INPUTS!F28*(1+I16)</f>
        <v>1346800000</v>
      </c>
      <c r="J21" s="218">
        <f>+INPUTS!G28*(1+J16)</f>
        <v>1346800000</v>
      </c>
      <c r="K21" s="218">
        <f>+INPUTS!H28*(1+K16)</f>
        <v>1346800000</v>
      </c>
      <c r="L21" s="218">
        <f>+INPUTS!I28*(1+L16)</f>
        <v>1346800000</v>
      </c>
      <c r="M21" s="218">
        <f>+INPUTS!J28*(1+M16)</f>
        <v>1346800000</v>
      </c>
      <c r="N21" s="218">
        <f>+INPUTS!K28*(1+N16)</f>
        <v>1346800000</v>
      </c>
      <c r="O21" s="218">
        <f>+INPUTS!L28*(1+O16)</f>
        <v>1346800000</v>
      </c>
      <c r="P21" s="218">
        <f>+INPUTS!M28*(1+P16)</f>
        <v>1346800000</v>
      </c>
      <c r="Q21" s="218">
        <f>+INPUTS!N28*(1+Q16)</f>
        <v>1346800000</v>
      </c>
      <c r="R21" s="218">
        <f>+INPUTS!O28*(1+R16)</f>
        <v>1346800000</v>
      </c>
      <c r="S21" s="218">
        <f>+INPUTS!P28*(1+S16)</f>
        <v>1346800000</v>
      </c>
      <c r="T21" s="218">
        <f>+INPUTS!Q28*(1+T16)</f>
        <v>1346800000</v>
      </c>
      <c r="U21" s="218">
        <f>+INPUTS!R28*(1+U16)</f>
        <v>1346800000</v>
      </c>
      <c r="V21" s="218">
        <f>+INPUTS!S28*(1+V16)</f>
        <v>1346800000</v>
      </c>
      <c r="W21" s="218">
        <f>+INPUTS!T28*(1+W16)</f>
        <v>1346800000</v>
      </c>
      <c r="X21" s="218">
        <f>+INPUTS!U28*(1+X16)</f>
        <v>1346800000</v>
      </c>
      <c r="Y21" s="215">
        <f>+SUM(E21:X21)</f>
        <v>26936000000</v>
      </c>
    </row>
    <row r="22" spans="1:25" s="389" customFormat="1" ht="19.5" customHeight="1" x14ac:dyDescent="0.3">
      <c r="A22" s="328"/>
      <c r="B22" s="390" t="s">
        <v>59</v>
      </c>
      <c r="C22" s="391"/>
      <c r="D22" s="392"/>
      <c r="E22" s="218">
        <f>+INPUTS!B16*(1+E17)</f>
        <v>1598400000</v>
      </c>
      <c r="F22" s="218">
        <f>+INPUTS!C16*(1+F17)</f>
        <v>1598400000</v>
      </c>
      <c r="G22" s="218">
        <f>+INPUTS!D16*(1+G17)</f>
        <v>1598400000</v>
      </c>
      <c r="H22" s="218">
        <f>+INPUTS!E16*(1+H17)</f>
        <v>1598400000</v>
      </c>
      <c r="I22" s="218">
        <f>+INPUTS!F16*(1+I17)</f>
        <v>1598400000</v>
      </c>
      <c r="J22" s="218">
        <f>+INPUTS!G16*(1+J17)</f>
        <v>1598400000</v>
      </c>
      <c r="K22" s="218">
        <f>+INPUTS!H16*(1+K17)</f>
        <v>1598400000</v>
      </c>
      <c r="L22" s="218">
        <f>+INPUTS!I16*(1+L17)</f>
        <v>1598400000</v>
      </c>
      <c r="M22" s="218">
        <f>+INPUTS!J16*(1+M17)</f>
        <v>1598400000</v>
      </c>
      <c r="N22" s="218">
        <f>+INPUTS!K16*(1+N17)</f>
        <v>1598400000</v>
      </c>
      <c r="O22" s="218">
        <f>+INPUTS!L16*(1+O17)</f>
        <v>1598400000</v>
      </c>
      <c r="P22" s="218">
        <f>+INPUTS!M16*(1+P17)</f>
        <v>1598400000</v>
      </c>
      <c r="Q22" s="218">
        <f>+INPUTS!N16*(1+Q17)</f>
        <v>1598400000</v>
      </c>
      <c r="R22" s="218">
        <f>+INPUTS!O16*(1+R17)</f>
        <v>1598400000</v>
      </c>
      <c r="S22" s="218">
        <f>+INPUTS!P16*(1+S17)</f>
        <v>1598400000</v>
      </c>
      <c r="T22" s="218">
        <f>+INPUTS!Q16*(1+T17)</f>
        <v>1598400000</v>
      </c>
      <c r="U22" s="218">
        <f>+INPUTS!R16*(1+U17)</f>
        <v>1598400000</v>
      </c>
      <c r="V22" s="218">
        <f>+INPUTS!S16*(1+V17)</f>
        <v>1598400000</v>
      </c>
      <c r="W22" s="218">
        <f>+INPUTS!T16*(1+W17)</f>
        <v>1598400000</v>
      </c>
      <c r="X22" s="218">
        <f>+INPUTS!U16*(1+X17)</f>
        <v>1598400000</v>
      </c>
      <c r="Y22" s="215">
        <f>+SUM(E22:X22)</f>
        <v>31968000000</v>
      </c>
    </row>
    <row r="23" spans="1:25" ht="24" customHeight="1" x14ac:dyDescent="0.3">
      <c r="B23" s="537" t="s">
        <v>222</v>
      </c>
      <c r="C23" s="538"/>
      <c r="D23" s="531"/>
      <c r="E23" s="317">
        <f t="shared" ref="E23:S23" si="7">SUM(E19:E22)</f>
        <v>5593910860</v>
      </c>
      <c r="F23" s="317">
        <f t="shared" si="7"/>
        <v>5593910860</v>
      </c>
      <c r="G23" s="317">
        <f t="shared" si="7"/>
        <v>7010053300</v>
      </c>
      <c r="H23" s="317">
        <f t="shared" si="7"/>
        <v>10550409400</v>
      </c>
      <c r="I23" s="317">
        <f t="shared" si="7"/>
        <v>10550409400</v>
      </c>
      <c r="J23" s="317">
        <f t="shared" si="7"/>
        <v>10550409400</v>
      </c>
      <c r="K23" s="317">
        <f t="shared" si="7"/>
        <v>10550409400</v>
      </c>
      <c r="L23" s="317">
        <f t="shared" si="7"/>
        <v>10550409400</v>
      </c>
      <c r="M23" s="317">
        <f t="shared" si="7"/>
        <v>10550409400</v>
      </c>
      <c r="N23" s="317">
        <f t="shared" si="7"/>
        <v>10550409400</v>
      </c>
      <c r="O23" s="317">
        <f t="shared" si="7"/>
        <v>10550409400</v>
      </c>
      <c r="P23" s="317">
        <f t="shared" si="7"/>
        <v>10550409400</v>
      </c>
      <c r="Q23" s="317">
        <f t="shared" si="7"/>
        <v>10550409400</v>
      </c>
      <c r="R23" s="317">
        <f t="shared" si="7"/>
        <v>10550409400</v>
      </c>
      <c r="S23" s="317">
        <f t="shared" si="7"/>
        <v>10550409400</v>
      </c>
      <c r="T23" s="335">
        <f>IF(CONTROL!$C$12=2,SUM(T19:T22),0)</f>
        <v>10550409400</v>
      </c>
      <c r="U23" s="335">
        <f>IF(CONTROL!$C$12=2,SUM(U19:U22),0)</f>
        <v>10550409400</v>
      </c>
      <c r="V23" s="335">
        <f>IF(CONTROL!$C$12=2,SUM(V19:V22),0)</f>
        <v>10550409400</v>
      </c>
      <c r="W23" s="335">
        <f>IF(CONTROL!$C$12=2,SUM(W19:W22),0)</f>
        <v>10550409400</v>
      </c>
      <c r="X23" s="335">
        <f>IF(CONTROL!$C$12=2,SUM(X19:X22),0)</f>
        <v>10550409400</v>
      </c>
      <c r="Y23" s="317">
        <f>+SUM(E23:X23)</f>
        <v>197554834820</v>
      </c>
    </row>
    <row r="24" spans="1:25" ht="15.75" customHeight="1" x14ac:dyDescent="0.3"/>
    <row r="26" spans="1:25" ht="15" customHeight="1" x14ac:dyDescent="0.3">
      <c r="E26" s="393"/>
      <c r="F26" s="393"/>
      <c r="G26" s="393"/>
      <c r="H26" s="393"/>
      <c r="I26" s="393"/>
      <c r="J26" s="393"/>
      <c r="K26" s="393"/>
      <c r="L26" s="393"/>
      <c r="M26" s="393"/>
      <c r="N26" s="393"/>
      <c r="O26" s="393"/>
      <c r="P26" s="393"/>
      <c r="Q26" s="393"/>
      <c r="R26" s="393"/>
      <c r="S26" s="393"/>
      <c r="T26" s="393"/>
      <c r="U26" s="393"/>
      <c r="V26" s="393"/>
      <c r="W26" s="393"/>
      <c r="X26" s="393"/>
    </row>
    <row r="27" spans="1:25" ht="15" customHeight="1" x14ac:dyDescent="0.3">
      <c r="E27" s="393"/>
      <c r="F27" s="393"/>
      <c r="G27" s="393"/>
      <c r="H27" s="393"/>
      <c r="I27" s="393"/>
      <c r="J27" s="393"/>
      <c r="K27" s="393"/>
      <c r="L27" s="393"/>
      <c r="M27" s="393"/>
      <c r="N27" s="393"/>
      <c r="O27" s="393"/>
      <c r="P27" s="393"/>
      <c r="Q27" s="393"/>
      <c r="R27" s="393"/>
      <c r="S27" s="393"/>
      <c r="T27" s="393"/>
      <c r="U27" s="393"/>
      <c r="V27" s="393"/>
      <c r="W27" s="393"/>
      <c r="X27" s="393"/>
    </row>
    <row r="28" spans="1:25" ht="15" customHeight="1" x14ac:dyDescent="0.3">
      <c r="E28" s="393"/>
      <c r="F28" s="393"/>
      <c r="G28" s="393"/>
      <c r="H28" s="393"/>
      <c r="I28" s="393"/>
      <c r="J28" s="393"/>
      <c r="K28" s="393"/>
      <c r="L28" s="393"/>
      <c r="M28" s="393"/>
      <c r="N28" s="393"/>
      <c r="O28" s="393"/>
      <c r="P28" s="393"/>
      <c r="Q28" s="393"/>
      <c r="R28" s="393"/>
      <c r="S28" s="393"/>
      <c r="T28" s="393"/>
      <c r="U28" s="393"/>
      <c r="V28" s="393"/>
      <c r="W28" s="393"/>
      <c r="X28" s="393"/>
    </row>
    <row r="29" spans="1:25" ht="15" customHeight="1" x14ac:dyDescent="0.3">
      <c r="E29" s="393"/>
      <c r="F29" s="393"/>
      <c r="G29" s="393"/>
      <c r="H29" s="393"/>
      <c r="I29" s="393"/>
      <c r="J29" s="393"/>
      <c r="K29" s="393"/>
      <c r="L29" s="393"/>
      <c r="M29" s="393"/>
      <c r="N29" s="393"/>
      <c r="O29" s="393"/>
      <c r="P29" s="393"/>
      <c r="Q29" s="393"/>
      <c r="R29" s="393"/>
      <c r="S29" s="393"/>
      <c r="T29" s="393"/>
      <c r="U29" s="393"/>
      <c r="V29" s="393"/>
      <c r="W29" s="393"/>
      <c r="X29" s="393"/>
      <c r="Y29" s="328"/>
    </row>
    <row r="30" spans="1:25" ht="15" customHeight="1" x14ac:dyDescent="0.3">
      <c r="E30" s="331"/>
      <c r="F30" s="331"/>
      <c r="G30" s="331"/>
      <c r="H30" s="331"/>
      <c r="I30" s="331"/>
      <c r="J30" s="331"/>
      <c r="K30" s="331"/>
      <c r="L30" s="331"/>
      <c r="M30" s="331"/>
      <c r="N30" s="331"/>
      <c r="O30" s="331"/>
      <c r="P30" s="331"/>
      <c r="Q30" s="331"/>
      <c r="R30" s="331"/>
      <c r="S30" s="331"/>
      <c r="T30" s="331"/>
      <c r="U30" s="331"/>
      <c r="V30" s="331"/>
      <c r="W30" s="331"/>
      <c r="X30" s="331"/>
    </row>
    <row r="31" spans="1:25" ht="15" customHeight="1" x14ac:dyDescent="0.3">
      <c r="E31" s="331"/>
      <c r="F31" s="331"/>
      <c r="G31" s="331"/>
      <c r="H31" s="331"/>
      <c r="I31" s="331"/>
      <c r="J31" s="331"/>
      <c r="K31" s="331"/>
      <c r="L31" s="331"/>
      <c r="M31" s="331"/>
      <c r="N31" s="331"/>
      <c r="O31" s="331"/>
      <c r="P31" s="331"/>
      <c r="Q31" s="331"/>
      <c r="R31" s="331"/>
      <c r="S31" s="331"/>
      <c r="T31" s="331"/>
      <c r="U31" s="331"/>
      <c r="V31" s="331"/>
      <c r="W31" s="331"/>
      <c r="X31" s="331"/>
    </row>
    <row r="32" spans="1:25" ht="15" customHeight="1" x14ac:dyDescent="0.3">
      <c r="E32" s="331"/>
      <c r="F32" s="331"/>
      <c r="G32" s="331"/>
      <c r="H32" s="331"/>
      <c r="I32" s="331"/>
      <c r="J32" s="331"/>
      <c r="K32" s="331"/>
      <c r="L32" s="331"/>
      <c r="M32" s="331"/>
      <c r="N32" s="331"/>
      <c r="O32" s="331"/>
      <c r="P32" s="331"/>
      <c r="Q32" s="331"/>
      <c r="R32" s="331"/>
      <c r="S32" s="331"/>
      <c r="T32" s="331"/>
      <c r="U32" s="331"/>
      <c r="V32" s="331"/>
      <c r="W32" s="331"/>
      <c r="X32" s="331"/>
    </row>
  </sheetData>
  <mergeCells count="12">
    <mergeCell ref="Y2:Y4"/>
    <mergeCell ref="B9:C9"/>
    <mergeCell ref="B8:C8"/>
    <mergeCell ref="B4:C4"/>
    <mergeCell ref="B12:C12"/>
    <mergeCell ref="B6:C6"/>
    <mergeCell ref="B2:C2"/>
    <mergeCell ref="B7:C7"/>
    <mergeCell ref="B11:C11"/>
    <mergeCell ref="B23:D23"/>
    <mergeCell ref="B3:C3"/>
    <mergeCell ref="B10:C10"/>
  </mergeCells>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511"/>
  <sheetViews>
    <sheetView showGridLines="0" topLeftCell="A2" zoomScaleNormal="100" workbookViewId="0">
      <selection activeCell="D20" sqref="D20"/>
    </sheetView>
  </sheetViews>
  <sheetFormatPr defaultColWidth="11.5546875" defaultRowHeight="14.4" x14ac:dyDescent="0.3"/>
  <cols>
    <col min="1" max="1" width="6" style="389" customWidth="1"/>
    <col min="2" max="2" width="5" style="389" customWidth="1"/>
    <col min="3" max="3" width="30.109375" style="389" customWidth="1"/>
    <col min="4" max="4" width="21.44140625" style="389" customWidth="1"/>
    <col min="5" max="5" width="20.5546875" style="389" customWidth="1"/>
    <col min="6" max="6" width="18.5546875" style="389" customWidth="1"/>
    <col min="7" max="7" width="22" style="389" customWidth="1"/>
    <col min="8" max="8" width="38.33203125" style="389" customWidth="1"/>
    <col min="9" max="9" width="8.44140625" style="389" customWidth="1"/>
    <col min="10" max="10" width="19" style="389" customWidth="1"/>
    <col min="11" max="11" width="11.5546875" style="389" customWidth="1"/>
    <col min="12" max="16384" width="11.5546875" style="389"/>
  </cols>
  <sheetData>
    <row r="1" spans="1:15" ht="15" customHeight="1" x14ac:dyDescent="0.3">
      <c r="A1" s="394"/>
    </row>
    <row r="2" spans="1:15" ht="15" customHeight="1" x14ac:dyDescent="0.3">
      <c r="A2" s="394"/>
      <c r="C2" s="395" t="s">
        <v>223</v>
      </c>
      <c r="D2" s="396">
        <f>IF(CONTROL!G32="NO",CONTROL!G24,CONTROL!G24*(1+CONTROL!G26))</f>
        <v>25317954211.934998</v>
      </c>
      <c r="F2" s="539" t="s">
        <v>224</v>
      </c>
      <c r="G2" s="540"/>
    </row>
    <row r="3" spans="1:15" ht="15" customHeight="1" x14ac:dyDescent="0.3">
      <c r="A3" s="394"/>
      <c r="C3" s="397" t="s">
        <v>225</v>
      </c>
      <c r="D3" s="398">
        <f>+CONTROL!G26</f>
        <v>8.5000000000000006E-2</v>
      </c>
      <c r="F3" s="399" t="s">
        <v>226</v>
      </c>
      <c r="G3" s="400">
        <f>D2</f>
        <v>25317954211.934998</v>
      </c>
    </row>
    <row r="4" spans="1:15" ht="15" customHeight="1" x14ac:dyDescent="0.3">
      <c r="C4" s="397" t="s">
        <v>227</v>
      </c>
      <c r="D4" s="401">
        <f>+D8</f>
        <v>6</v>
      </c>
      <c r="F4" s="399" t="s">
        <v>228</v>
      </c>
      <c r="G4" s="400">
        <f>SUM($D$13:$D$399)</f>
        <v>33360012582.495235</v>
      </c>
    </row>
    <row r="5" spans="1:15" ht="15" customHeight="1" x14ac:dyDescent="0.3">
      <c r="C5" s="397" t="s">
        <v>229</v>
      </c>
      <c r="D5" s="402" t="s">
        <v>230</v>
      </c>
      <c r="F5" s="399" t="s">
        <v>231</v>
      </c>
      <c r="G5" s="400">
        <f>SUM($E$13:$E$399)</f>
        <v>8042058370.560236</v>
      </c>
    </row>
    <row r="6" spans="1:15" ht="15" customHeight="1" x14ac:dyDescent="0.3">
      <c r="C6" s="397" t="s">
        <v>232</v>
      </c>
      <c r="D6" s="403">
        <f>D3/D7</f>
        <v>8.5000000000000006E-2</v>
      </c>
      <c r="E6" s="404"/>
      <c r="F6" s="405"/>
      <c r="G6" s="405"/>
    </row>
    <row r="7" spans="1:15" ht="15" customHeight="1" x14ac:dyDescent="0.3">
      <c r="C7" s="397" t="s">
        <v>233</v>
      </c>
      <c r="D7" s="406">
        <v>1</v>
      </c>
      <c r="E7" s="404"/>
      <c r="F7" s="405"/>
      <c r="G7" s="405"/>
    </row>
    <row r="8" spans="1:15" ht="15" customHeight="1" x14ac:dyDescent="0.3">
      <c r="C8" s="397" t="s">
        <v>234</v>
      </c>
      <c r="D8" s="407">
        <f>+CONTROL!G28</f>
        <v>6</v>
      </c>
      <c r="E8" s="404"/>
    </row>
    <row r="9" spans="1:15" ht="15" customHeight="1" x14ac:dyDescent="0.3">
      <c r="C9" s="397" t="s">
        <v>235</v>
      </c>
      <c r="D9" s="396">
        <f>+CONTROL!G24*C10</f>
        <v>233345200.11000001</v>
      </c>
    </row>
    <row r="10" spans="1:15" ht="15.75" customHeight="1" x14ac:dyDescent="0.3">
      <c r="C10" s="408">
        <v>0.01</v>
      </c>
      <c r="D10" s="409"/>
      <c r="E10" s="409"/>
      <c r="F10" s="410"/>
    </row>
    <row r="11" spans="1:15" ht="26.25" customHeight="1" x14ac:dyDescent="0.3">
      <c r="C11" s="411" t="s">
        <v>236</v>
      </c>
      <c r="D11" s="412" t="s">
        <v>237</v>
      </c>
      <c r="E11" s="412" t="s">
        <v>238</v>
      </c>
      <c r="F11" s="412" t="s">
        <v>239</v>
      </c>
      <c r="G11" s="413" t="s">
        <v>240</v>
      </c>
      <c r="H11" s="414" t="s">
        <v>241</v>
      </c>
      <c r="J11" s="541" t="s">
        <v>242</v>
      </c>
      <c r="K11" s="542"/>
      <c r="L11" s="542"/>
      <c r="M11" s="542"/>
      <c r="N11" s="542"/>
      <c r="O11" s="543"/>
    </row>
    <row r="12" spans="1:15" ht="15" customHeight="1" x14ac:dyDescent="0.3">
      <c r="C12" s="415">
        <v>0</v>
      </c>
      <c r="D12" s="416"/>
      <c r="E12" s="416"/>
      <c r="F12" s="416"/>
      <c r="G12" s="417">
        <f>D2</f>
        <v>25317954211.934998</v>
      </c>
      <c r="H12" s="418"/>
      <c r="I12" s="418"/>
      <c r="J12" s="544"/>
      <c r="K12" s="540"/>
      <c r="L12" s="540"/>
      <c r="M12" s="540"/>
      <c r="N12" s="540"/>
      <c r="O12" s="545"/>
    </row>
    <row r="13" spans="1:15" ht="15" customHeight="1" x14ac:dyDescent="0.3">
      <c r="A13" s="419"/>
      <c r="C13" s="420">
        <f t="shared" ref="C13:C76" si="0">IF(OR(C12=$D$8,C12=""),"",IF(ISNUMBER(C12),C12+1,1))</f>
        <v>1</v>
      </c>
      <c r="D13" s="421">
        <f>IF(C13&gt;$D$8,"",IF(CONTROL!$G$29=1,PMT($D$6,$D$8,$D$2)*-1,'PRESTAMO '!E13+'PRESTAMO '!F13))</f>
        <v>5560002097.0825396</v>
      </c>
      <c r="E13" s="422">
        <f t="shared" ref="E13:E76" si="1">IF(C13&gt;$D$8,"",$D$6*G12)</f>
        <v>2152026108.0144749</v>
      </c>
      <c r="F13" s="422">
        <f>IF(C13&gt;$D$8,"",IF(CONTROL!$G$29=1,D13-E13,'PRESTAMO '!$D$2/'PRESTAMO '!$D$8))</f>
        <v>3407975989.0680647</v>
      </c>
      <c r="G13" s="422">
        <f t="shared" ref="G13:G76" si="2">IF(C13&gt;$D$8,"",G12-F13)</f>
        <v>21909978222.866932</v>
      </c>
      <c r="H13" s="422">
        <f>+(E13*0.21)/1.21</f>
        <v>373492134.44879317</v>
      </c>
      <c r="J13" s="544"/>
      <c r="K13" s="540"/>
      <c r="L13" s="540"/>
      <c r="M13" s="540"/>
      <c r="N13" s="540"/>
      <c r="O13" s="545"/>
    </row>
    <row r="14" spans="1:15" ht="15" customHeight="1" x14ac:dyDescent="0.3">
      <c r="A14" s="423"/>
      <c r="C14" s="420">
        <f t="shared" si="0"/>
        <v>2</v>
      </c>
      <c r="D14" s="421">
        <f>IF(C14&gt;$D$8,"",IF(CONTROL!$G$29=1,PMT($D$6,$D$8,$D$2)*-1,'PRESTAMO '!E14+'PRESTAMO '!F14))</f>
        <v>5560002097.0825396</v>
      </c>
      <c r="E14" s="422">
        <f t="shared" si="1"/>
        <v>1862348148.9436893</v>
      </c>
      <c r="F14" s="422">
        <f>IF(C14&gt;$D$8,"",IF(CONTROL!$G$29=1,D14-E14,'PRESTAMO '!$D$2/'PRESTAMO '!$D$8))</f>
        <v>3697653948.1388502</v>
      </c>
      <c r="G14" s="422">
        <f t="shared" si="2"/>
        <v>18212324274.728081</v>
      </c>
      <c r="H14" s="424">
        <f t="shared" ref="H14:H32" si="3">+IF(D14="",0,(E14*0.21)/1.21)</f>
        <v>323217447.33733451</v>
      </c>
      <c r="J14" s="544"/>
      <c r="K14" s="540"/>
      <c r="L14" s="540"/>
      <c r="M14" s="540"/>
      <c r="N14" s="540"/>
      <c r="O14" s="545"/>
    </row>
    <row r="15" spans="1:15" ht="15" customHeight="1" x14ac:dyDescent="0.3">
      <c r="C15" s="420">
        <f t="shared" si="0"/>
        <v>3</v>
      </c>
      <c r="D15" s="421">
        <f>IF(C15&gt;$D$8,"",IF(CONTROL!$G$29=1,PMT($D$6,$D$8,$D$2)*-1,'PRESTAMO '!E15+'PRESTAMO '!F15))</f>
        <v>5560002097.0825396</v>
      </c>
      <c r="E15" s="422">
        <f t="shared" si="1"/>
        <v>1548047563.351887</v>
      </c>
      <c r="F15" s="422">
        <f>IF(C15&gt;$D$8,"",IF(CONTROL!$G$29=1,D15-E15,'PRESTAMO '!$D$2/'PRESTAMO '!$D$8))</f>
        <v>4011954533.7306528</v>
      </c>
      <c r="G15" s="422">
        <f t="shared" si="2"/>
        <v>14200369740.997429</v>
      </c>
      <c r="H15" s="424">
        <f t="shared" si="3"/>
        <v>268669411.82140189</v>
      </c>
      <c r="J15" s="544"/>
      <c r="K15" s="540"/>
      <c r="L15" s="540"/>
      <c r="M15" s="540"/>
      <c r="N15" s="540"/>
      <c r="O15" s="545"/>
    </row>
    <row r="16" spans="1:15" ht="15" customHeight="1" x14ac:dyDescent="0.3">
      <c r="A16" s="419"/>
      <c r="C16" s="420">
        <f t="shared" si="0"/>
        <v>4</v>
      </c>
      <c r="D16" s="421">
        <f>IF(C16&gt;$D$8,"",IF(CONTROL!$G$29=1,PMT($D$6,$D$8,$D$2)*-1,'PRESTAMO '!E16+'PRESTAMO '!F16))</f>
        <v>5560002097.0825396</v>
      </c>
      <c r="E16" s="422">
        <f t="shared" si="1"/>
        <v>1207031427.9847815</v>
      </c>
      <c r="F16" s="422">
        <f>IF(C16&gt;$D$8,"",IF(CONTROL!$G$29=1,D16-E16,'PRESTAMO '!$D$2/'PRESTAMO '!$D$8))</f>
        <v>4352970669.0977583</v>
      </c>
      <c r="G16" s="422">
        <f t="shared" si="2"/>
        <v>9847399071.8996696</v>
      </c>
      <c r="H16" s="424">
        <f t="shared" si="3"/>
        <v>209484793.28661498</v>
      </c>
      <c r="J16" s="544"/>
      <c r="K16" s="540"/>
      <c r="L16" s="540"/>
      <c r="M16" s="540"/>
      <c r="N16" s="540"/>
      <c r="O16" s="545"/>
    </row>
    <row r="17" spans="1:15" ht="15" customHeight="1" x14ac:dyDescent="0.3">
      <c r="C17" s="420">
        <f t="shared" si="0"/>
        <v>5</v>
      </c>
      <c r="D17" s="421">
        <f>IF(C17&gt;$D$8,"",IF(CONTROL!$G$29=1,PMT($D$6,$D$8,$D$2)*-1,'PRESTAMO '!E17+'PRESTAMO '!F17))</f>
        <v>5560002097.0825396</v>
      </c>
      <c r="E17" s="422">
        <f t="shared" si="1"/>
        <v>837028921.11147201</v>
      </c>
      <c r="F17" s="422">
        <f>IF(C17&gt;$D$8,"",IF(CONTROL!$G$29=1,D17-E17,'PRESTAMO '!$D$2/'PRESTAMO '!$D$8))</f>
        <v>4722973175.9710674</v>
      </c>
      <c r="G17" s="422">
        <f t="shared" si="2"/>
        <v>5124425895.9286022</v>
      </c>
      <c r="H17" s="424">
        <f t="shared" si="3"/>
        <v>145269482.17637119</v>
      </c>
      <c r="J17" s="544"/>
      <c r="K17" s="540"/>
      <c r="L17" s="540"/>
      <c r="M17" s="540"/>
      <c r="N17" s="540"/>
      <c r="O17" s="545"/>
    </row>
    <row r="18" spans="1:15" ht="15" customHeight="1" x14ac:dyDescent="0.3">
      <c r="C18" s="420">
        <f t="shared" si="0"/>
        <v>6</v>
      </c>
      <c r="D18" s="421">
        <f>IF(C18&gt;$D$8,"",IF(CONTROL!$G$29=1,PMT($D$6,$D$8,$D$2)*-1,'PRESTAMO '!E18+'PRESTAMO '!F18))</f>
        <v>5560002097.0825396</v>
      </c>
      <c r="E18" s="422">
        <f t="shared" si="1"/>
        <v>435576201.1539312</v>
      </c>
      <c r="F18" s="422">
        <f>IF(C18&gt;$D$8,"",IF(CONTROL!$G$29=1,D18-E18,'PRESTAMO '!$D$2/'PRESTAMO '!$D$8))</f>
        <v>5124425895.9286079</v>
      </c>
      <c r="G18" s="424">
        <f t="shared" si="2"/>
        <v>-5.7220458984375E-6</v>
      </c>
      <c r="H18" s="424">
        <f t="shared" si="3"/>
        <v>75595869.621756643</v>
      </c>
      <c r="J18" s="544"/>
      <c r="K18" s="540"/>
      <c r="L18" s="540"/>
      <c r="M18" s="540"/>
      <c r="N18" s="540"/>
      <c r="O18" s="545"/>
    </row>
    <row r="19" spans="1:15" ht="15" customHeight="1" x14ac:dyDescent="0.3">
      <c r="A19" s="419"/>
      <c r="C19" s="420" t="str">
        <f t="shared" si="0"/>
        <v/>
      </c>
      <c r="D19" s="421" t="str">
        <f>IF(C19&gt;$D$8,"",IF(CONTROL!$G$29=1,PMT($D$6,$D$8,$D$2)*-1,'PRESTAMO '!E19+'PRESTAMO '!F19))</f>
        <v/>
      </c>
      <c r="E19" s="422" t="str">
        <f t="shared" si="1"/>
        <v/>
      </c>
      <c r="F19" s="422" t="str">
        <f>IF(C19&gt;$D$8,"",IF(CONTROL!$G$29=1,D19-E19,'PRESTAMO '!$D$2/'PRESTAMO '!$D$8))</f>
        <v/>
      </c>
      <c r="G19" s="424" t="str">
        <f t="shared" si="2"/>
        <v/>
      </c>
      <c r="H19" s="424">
        <f t="shared" si="3"/>
        <v>0</v>
      </c>
      <c r="J19" s="544"/>
      <c r="K19" s="540"/>
      <c r="L19" s="540"/>
      <c r="M19" s="540"/>
      <c r="N19" s="540"/>
      <c r="O19" s="545"/>
    </row>
    <row r="20" spans="1:15" ht="15" customHeight="1" x14ac:dyDescent="0.3">
      <c r="C20" s="420" t="str">
        <f t="shared" si="0"/>
        <v/>
      </c>
      <c r="D20" s="421" t="str">
        <f>IF(C20&gt;$D$8,"",IF(CONTROL!$G$29=1,PMT($D$6,$D$8,$D$2)*-1,'PRESTAMO '!E20+'PRESTAMO '!F20))</f>
        <v/>
      </c>
      <c r="E20" s="422" t="str">
        <f t="shared" si="1"/>
        <v/>
      </c>
      <c r="F20" s="422" t="str">
        <f>IF(C20&gt;$D$8,"",IF(CONTROL!$G$29=1,D20-E20,'PRESTAMO '!$D$2/'PRESTAMO '!$D$8))</f>
        <v/>
      </c>
      <c r="G20" s="424" t="str">
        <f t="shared" si="2"/>
        <v/>
      </c>
      <c r="H20" s="424">
        <f t="shared" si="3"/>
        <v>0</v>
      </c>
      <c r="J20" s="544"/>
      <c r="K20" s="540"/>
      <c r="L20" s="540"/>
      <c r="M20" s="540"/>
      <c r="N20" s="540"/>
      <c r="O20" s="545"/>
    </row>
    <row r="21" spans="1:15" ht="15" customHeight="1" x14ac:dyDescent="0.3">
      <c r="C21" s="420" t="str">
        <f t="shared" si="0"/>
        <v/>
      </c>
      <c r="D21" s="421" t="str">
        <f>IF(C21&gt;$D$8,"",IF(CONTROL!$G$29=1,PMT($D$6,$D$8,$D$2)*-1,'PRESTAMO '!E21+'PRESTAMO '!F21))</f>
        <v/>
      </c>
      <c r="E21" s="422" t="str">
        <f t="shared" si="1"/>
        <v/>
      </c>
      <c r="F21" s="422" t="str">
        <f>IF(C21&gt;$D$8,"",IF(CONTROL!$G$29=1,D21-E21,'PRESTAMO '!$D$2/'PRESTAMO '!$D$8))</f>
        <v/>
      </c>
      <c r="G21" s="424" t="str">
        <f t="shared" si="2"/>
        <v/>
      </c>
      <c r="H21" s="424">
        <f t="shared" si="3"/>
        <v>0</v>
      </c>
      <c r="J21" s="544"/>
      <c r="K21" s="540"/>
      <c r="L21" s="540"/>
      <c r="M21" s="540"/>
      <c r="N21" s="540"/>
      <c r="O21" s="545"/>
    </row>
    <row r="22" spans="1:15" ht="15" customHeight="1" x14ac:dyDescent="0.3">
      <c r="A22" s="419"/>
      <c r="C22" s="420" t="str">
        <f t="shared" si="0"/>
        <v/>
      </c>
      <c r="D22" s="421" t="str">
        <f>IF(C22&gt;$D$8,"",IF(CONTROL!$G$29=1,PMT($D$6,$D$8,$D$2)*-1,'PRESTAMO '!E22+'PRESTAMO '!F22))</f>
        <v/>
      </c>
      <c r="E22" s="422" t="str">
        <f t="shared" si="1"/>
        <v/>
      </c>
      <c r="F22" s="422" t="str">
        <f>IF(C22&gt;$D$8,"",IF(CONTROL!$G$29=1,D22-E22,'PRESTAMO '!$D$2/'PRESTAMO '!$D$8))</f>
        <v/>
      </c>
      <c r="G22" s="424" t="str">
        <f t="shared" si="2"/>
        <v/>
      </c>
      <c r="H22" s="424">
        <f t="shared" si="3"/>
        <v>0</v>
      </c>
      <c r="J22" s="544"/>
      <c r="K22" s="540"/>
      <c r="L22" s="540"/>
      <c r="M22" s="540"/>
      <c r="N22" s="540"/>
      <c r="O22" s="545"/>
    </row>
    <row r="23" spans="1:15" ht="15.75" customHeight="1" x14ac:dyDescent="0.3">
      <c r="C23" s="420" t="str">
        <f t="shared" si="0"/>
        <v/>
      </c>
      <c r="D23" s="421" t="str">
        <f>IF(C23&gt;$D$8,"",IF(CONTROL!$G$29=1,PMT($D$6,$D$8,$D$2)*-1,'PRESTAMO '!E23+'PRESTAMO '!F23))</f>
        <v/>
      </c>
      <c r="E23" s="422" t="str">
        <f t="shared" si="1"/>
        <v/>
      </c>
      <c r="F23" s="422" t="str">
        <f>IF(C23&gt;$D$8,"",IF(CONTROL!$G$29=1,D23-E23,'PRESTAMO '!$D$2/'PRESTAMO '!$D$8))</f>
        <v/>
      </c>
      <c r="G23" s="424" t="str">
        <f t="shared" si="2"/>
        <v/>
      </c>
      <c r="H23" s="424">
        <f t="shared" si="3"/>
        <v>0</v>
      </c>
      <c r="J23" s="546"/>
      <c r="K23" s="509"/>
      <c r="L23" s="509"/>
      <c r="M23" s="509"/>
      <c r="N23" s="509"/>
      <c r="O23" s="547"/>
    </row>
    <row r="24" spans="1:15" ht="15" customHeight="1" x14ac:dyDescent="0.3">
      <c r="C24" s="420" t="str">
        <f t="shared" si="0"/>
        <v/>
      </c>
      <c r="D24" s="421" t="str">
        <f>IF(C24&gt;$D$8,"",IF(CONTROL!$G$29=1,PMT($D$6,$D$8,$D$2)*-1,'PRESTAMO '!E24+'PRESTAMO '!F24))</f>
        <v/>
      </c>
      <c r="E24" s="422" t="str">
        <f t="shared" si="1"/>
        <v/>
      </c>
      <c r="F24" s="422" t="str">
        <f>IF(C24&gt;$D$8,"",IF(CONTROL!$G$29=1,D24-E24,'PRESTAMO '!$D$2/'PRESTAMO '!$D$8))</f>
        <v/>
      </c>
      <c r="G24" s="424" t="str">
        <f t="shared" si="2"/>
        <v/>
      </c>
      <c r="H24" s="424">
        <f t="shared" si="3"/>
        <v>0</v>
      </c>
    </row>
    <row r="25" spans="1:15" ht="15" customHeight="1" x14ac:dyDescent="0.3">
      <c r="A25" s="419"/>
      <c r="C25" s="420" t="str">
        <f t="shared" si="0"/>
        <v/>
      </c>
      <c r="D25" s="421" t="str">
        <f>IF(C25&gt;$D$8,"",IF(CONTROL!$G$29=1,PMT($D$6,$D$8,$D$2)*-1,'PRESTAMO '!E25+'PRESTAMO '!F25))</f>
        <v/>
      </c>
      <c r="E25" s="422" t="str">
        <f t="shared" si="1"/>
        <v/>
      </c>
      <c r="F25" s="422" t="str">
        <f>IF(C25&gt;$D$8,"",IF(CONTROL!$G$29=1,D25-E25,'PRESTAMO '!$D$2/'PRESTAMO '!$D$8))</f>
        <v/>
      </c>
      <c r="G25" s="424" t="str">
        <f t="shared" si="2"/>
        <v/>
      </c>
      <c r="H25" s="424">
        <f t="shared" si="3"/>
        <v>0</v>
      </c>
    </row>
    <row r="26" spans="1:15" ht="15" customHeight="1" x14ac:dyDescent="0.3">
      <c r="C26" s="420" t="str">
        <f t="shared" si="0"/>
        <v/>
      </c>
      <c r="D26" s="421" t="str">
        <f>IF(C26&gt;$D$8,"",IF(CONTROL!$G$29=1,PMT($D$6,$D$8,$D$2)*-1,'PRESTAMO '!E26+'PRESTAMO '!F26))</f>
        <v/>
      </c>
      <c r="E26" s="422" t="str">
        <f t="shared" si="1"/>
        <v/>
      </c>
      <c r="F26" s="422" t="str">
        <f>IF(C26&gt;$D$8,"",IF(CONTROL!$G$29=1,D26-E26,'PRESTAMO '!$D$2/'PRESTAMO '!$D$8))</f>
        <v/>
      </c>
      <c r="G26" s="424" t="str">
        <f t="shared" si="2"/>
        <v/>
      </c>
      <c r="H26" s="424">
        <f t="shared" si="3"/>
        <v>0</v>
      </c>
    </row>
    <row r="27" spans="1:15" ht="15" customHeight="1" x14ac:dyDescent="0.3">
      <c r="C27" s="420" t="str">
        <f t="shared" si="0"/>
        <v/>
      </c>
      <c r="D27" s="421" t="str">
        <f>IF(C27&gt;$D$8,"",IF(CONTROL!$G$29=1,PMT($D$6,$D$8,$D$2)*-1,'PRESTAMO '!E27+'PRESTAMO '!F27))</f>
        <v/>
      </c>
      <c r="E27" s="422" t="str">
        <f t="shared" si="1"/>
        <v/>
      </c>
      <c r="F27" s="422" t="str">
        <f>IF(C27&gt;$D$8,"",IF(CONTROL!$G$29=1,D27-E27,'PRESTAMO '!$D$2/'PRESTAMO '!$D$8))</f>
        <v/>
      </c>
      <c r="G27" s="424" t="str">
        <f t="shared" si="2"/>
        <v/>
      </c>
      <c r="H27" s="424">
        <f t="shared" si="3"/>
        <v>0</v>
      </c>
    </row>
    <row r="28" spans="1:15" ht="15" customHeight="1" x14ac:dyDescent="0.3">
      <c r="A28" s="419"/>
      <c r="C28" s="420" t="str">
        <f t="shared" si="0"/>
        <v/>
      </c>
      <c r="D28" s="421" t="str">
        <f>IF(C28&gt;$D$8,"",IF(CONTROL!$G$29=1,PMT($D$6,$D$8,$D$2)*-1,'PRESTAMO '!E28+'PRESTAMO '!F28))</f>
        <v/>
      </c>
      <c r="E28" s="422" t="str">
        <f t="shared" si="1"/>
        <v/>
      </c>
      <c r="F28" s="422" t="str">
        <f>IF(C28&gt;$D$8,"",IF(CONTROL!$G$29=1,D28-E28,'PRESTAMO '!$D$2/'PRESTAMO '!$D$8))</f>
        <v/>
      </c>
      <c r="G28" s="424" t="str">
        <f t="shared" si="2"/>
        <v/>
      </c>
      <c r="H28" s="424">
        <f t="shared" si="3"/>
        <v>0</v>
      </c>
    </row>
    <row r="29" spans="1:15" ht="15" customHeight="1" x14ac:dyDescent="0.3">
      <c r="A29" s="419"/>
      <c r="C29" s="420" t="str">
        <f t="shared" si="0"/>
        <v/>
      </c>
      <c r="D29" s="421" t="str">
        <f>IF(C29&gt;$D$8,"",IF(CONTROL!$G$29=1,PMT($D$6,$D$8,$D$2)*-1,'PRESTAMO '!E29+'PRESTAMO '!F29))</f>
        <v/>
      </c>
      <c r="E29" s="422" t="str">
        <f t="shared" si="1"/>
        <v/>
      </c>
      <c r="F29" s="422" t="str">
        <f>IF(C29&gt;$D$8,"",IF(CONTROL!$G$29=1,D29-E29,'PRESTAMO '!$D$2/'PRESTAMO '!$D$8))</f>
        <v/>
      </c>
      <c r="G29" s="424" t="str">
        <f t="shared" si="2"/>
        <v/>
      </c>
      <c r="H29" s="424">
        <f t="shared" si="3"/>
        <v>0</v>
      </c>
    </row>
    <row r="30" spans="1:15" ht="15" customHeight="1" x14ac:dyDescent="0.3">
      <c r="C30" s="420" t="str">
        <f t="shared" si="0"/>
        <v/>
      </c>
      <c r="D30" s="421" t="str">
        <f>IF(C30&gt;$D$8,"",IF(CONTROL!$G$29=1,PMT($D$6,$D$8,$D$2)*-1,'PRESTAMO '!E30+'PRESTAMO '!F30))</f>
        <v/>
      </c>
      <c r="E30" s="422" t="str">
        <f t="shared" si="1"/>
        <v/>
      </c>
      <c r="F30" s="422" t="str">
        <f>IF(C30&gt;$D$8,"",IF(CONTROL!$G$29=1,D30-E30,'PRESTAMO '!$D$2/'PRESTAMO '!$D$8))</f>
        <v/>
      </c>
      <c r="G30" s="424" t="str">
        <f t="shared" si="2"/>
        <v/>
      </c>
      <c r="H30" s="424">
        <f t="shared" si="3"/>
        <v>0</v>
      </c>
    </row>
    <row r="31" spans="1:15" ht="15" customHeight="1" x14ac:dyDescent="0.3">
      <c r="C31" s="420" t="str">
        <f t="shared" si="0"/>
        <v/>
      </c>
      <c r="D31" s="421" t="str">
        <f>IF(C31&gt;$D$8,"",IF(CONTROL!$G$29=1,PMT($D$6,$D$8,$D$2)*-1,'PRESTAMO '!E31+'PRESTAMO '!F31))</f>
        <v/>
      </c>
      <c r="E31" s="422" t="str">
        <f t="shared" si="1"/>
        <v/>
      </c>
      <c r="F31" s="422" t="str">
        <f>IF(C31&gt;$D$8,"",IF(CONTROL!$G$29=1,D31-E31,'PRESTAMO '!$D$2/'PRESTAMO '!$D$8))</f>
        <v/>
      </c>
      <c r="G31" s="424" t="str">
        <f t="shared" si="2"/>
        <v/>
      </c>
      <c r="H31" s="424">
        <f t="shared" si="3"/>
        <v>0</v>
      </c>
    </row>
    <row r="32" spans="1:15" ht="15" customHeight="1" x14ac:dyDescent="0.3">
      <c r="A32" s="419"/>
      <c r="C32" s="420" t="str">
        <f t="shared" si="0"/>
        <v/>
      </c>
      <c r="D32" s="421" t="str">
        <f>IF(C32&gt;$D$8,"",IF(CONTROL!$G$29=1,PMT($D$6,$D$8,$D$2)*-1,'PRESTAMO '!E32+'PRESTAMO '!F32))</f>
        <v/>
      </c>
      <c r="E32" s="422" t="str">
        <f t="shared" si="1"/>
        <v/>
      </c>
      <c r="F32" s="422" t="str">
        <f>IF(C32&gt;$D$8,"",IF(CONTROL!$G$29=1,D32-E32,'PRESTAMO '!$D$2/'PRESTAMO '!$D$8))</f>
        <v/>
      </c>
      <c r="G32" s="424" t="str">
        <f t="shared" si="2"/>
        <v/>
      </c>
      <c r="H32" s="424">
        <f t="shared" si="3"/>
        <v>0</v>
      </c>
    </row>
    <row r="33" spans="1:7" ht="15" customHeight="1" x14ac:dyDescent="0.3">
      <c r="C33" s="420" t="str">
        <f t="shared" si="0"/>
        <v/>
      </c>
      <c r="D33" s="424" t="str">
        <f t="shared" ref="D33:D96" si="4">IF(C33&gt;$D$8,"",PMT($D$6,$D$8,$D$2)*-1)</f>
        <v/>
      </c>
      <c r="E33" s="424" t="str">
        <f t="shared" si="1"/>
        <v/>
      </c>
      <c r="F33" s="424" t="str">
        <f t="shared" ref="F33:F96" si="5">IF(C33&gt;$D$8,"",D33-E33)</f>
        <v/>
      </c>
      <c r="G33" s="424" t="str">
        <f t="shared" si="2"/>
        <v/>
      </c>
    </row>
    <row r="34" spans="1:7" ht="15" customHeight="1" x14ac:dyDescent="0.3">
      <c r="A34" s="327"/>
      <c r="C34" s="420" t="str">
        <f t="shared" si="0"/>
        <v/>
      </c>
      <c r="D34" s="424" t="str">
        <f t="shared" si="4"/>
        <v/>
      </c>
      <c r="E34" s="424" t="str">
        <f t="shared" si="1"/>
        <v/>
      </c>
      <c r="F34" s="424" t="str">
        <f t="shared" si="5"/>
        <v/>
      </c>
      <c r="G34" s="424" t="str">
        <f t="shared" si="2"/>
        <v/>
      </c>
    </row>
    <row r="35" spans="1:7" ht="15" customHeight="1" x14ac:dyDescent="0.3">
      <c r="C35" s="420" t="str">
        <f t="shared" si="0"/>
        <v/>
      </c>
      <c r="D35" s="424" t="str">
        <f t="shared" si="4"/>
        <v/>
      </c>
      <c r="E35" s="424" t="str">
        <f t="shared" si="1"/>
        <v/>
      </c>
      <c r="F35" s="424" t="str">
        <f t="shared" si="5"/>
        <v/>
      </c>
      <c r="G35" s="424" t="str">
        <f t="shared" si="2"/>
        <v/>
      </c>
    </row>
    <row r="36" spans="1:7" ht="15" customHeight="1" x14ac:dyDescent="0.3">
      <c r="C36" s="420" t="str">
        <f t="shared" si="0"/>
        <v/>
      </c>
      <c r="D36" s="424" t="str">
        <f t="shared" si="4"/>
        <v/>
      </c>
      <c r="E36" s="424" t="str">
        <f t="shared" si="1"/>
        <v/>
      </c>
      <c r="F36" s="424" t="str">
        <f t="shared" si="5"/>
        <v/>
      </c>
      <c r="G36" s="424" t="str">
        <f t="shared" si="2"/>
        <v/>
      </c>
    </row>
    <row r="37" spans="1:7" ht="15" customHeight="1" x14ac:dyDescent="0.3">
      <c r="A37" s="425"/>
      <c r="C37" s="420" t="str">
        <f t="shared" si="0"/>
        <v/>
      </c>
      <c r="D37" s="424" t="str">
        <f t="shared" si="4"/>
        <v/>
      </c>
      <c r="E37" s="424" t="str">
        <f t="shared" si="1"/>
        <v/>
      </c>
      <c r="F37" s="424" t="str">
        <f t="shared" si="5"/>
        <v/>
      </c>
      <c r="G37" s="424" t="str">
        <f t="shared" si="2"/>
        <v/>
      </c>
    </row>
    <row r="38" spans="1:7" ht="15" customHeight="1" x14ac:dyDescent="0.3">
      <c r="C38" s="420" t="str">
        <f t="shared" si="0"/>
        <v/>
      </c>
      <c r="D38" s="424" t="str">
        <f t="shared" si="4"/>
        <v/>
      </c>
      <c r="E38" s="424" t="str">
        <f t="shared" si="1"/>
        <v/>
      </c>
      <c r="F38" s="424" t="str">
        <f t="shared" si="5"/>
        <v/>
      </c>
      <c r="G38" s="424" t="str">
        <f t="shared" si="2"/>
        <v/>
      </c>
    </row>
    <row r="39" spans="1:7" ht="15" customHeight="1" x14ac:dyDescent="0.3">
      <c r="C39" s="420" t="str">
        <f t="shared" si="0"/>
        <v/>
      </c>
      <c r="D39" s="424" t="str">
        <f t="shared" si="4"/>
        <v/>
      </c>
      <c r="E39" s="424" t="str">
        <f t="shared" si="1"/>
        <v/>
      </c>
      <c r="F39" s="424" t="str">
        <f t="shared" si="5"/>
        <v/>
      </c>
      <c r="G39" s="424" t="str">
        <f t="shared" si="2"/>
        <v/>
      </c>
    </row>
    <row r="40" spans="1:7" ht="15" customHeight="1" x14ac:dyDescent="0.3">
      <c r="C40" s="420" t="str">
        <f t="shared" si="0"/>
        <v/>
      </c>
      <c r="D40" s="424" t="str">
        <f t="shared" si="4"/>
        <v/>
      </c>
      <c r="E40" s="424" t="str">
        <f t="shared" si="1"/>
        <v/>
      </c>
      <c r="F40" s="424" t="str">
        <f t="shared" si="5"/>
        <v/>
      </c>
      <c r="G40" s="424" t="str">
        <f t="shared" si="2"/>
        <v/>
      </c>
    </row>
    <row r="41" spans="1:7" ht="15" customHeight="1" x14ac:dyDescent="0.3">
      <c r="C41" s="420" t="str">
        <f t="shared" si="0"/>
        <v/>
      </c>
      <c r="D41" s="424" t="str">
        <f t="shared" si="4"/>
        <v/>
      </c>
      <c r="E41" s="424" t="str">
        <f t="shared" si="1"/>
        <v/>
      </c>
      <c r="F41" s="424" t="str">
        <f t="shared" si="5"/>
        <v/>
      </c>
      <c r="G41" s="424" t="str">
        <f t="shared" si="2"/>
        <v/>
      </c>
    </row>
    <row r="42" spans="1:7" ht="15" customHeight="1" x14ac:dyDescent="0.3">
      <c r="C42" s="420" t="str">
        <f t="shared" si="0"/>
        <v/>
      </c>
      <c r="D42" s="424" t="str">
        <f t="shared" si="4"/>
        <v/>
      </c>
      <c r="E42" s="424" t="str">
        <f t="shared" si="1"/>
        <v/>
      </c>
      <c r="F42" s="424" t="str">
        <f t="shared" si="5"/>
        <v/>
      </c>
      <c r="G42" s="424" t="str">
        <f t="shared" si="2"/>
        <v/>
      </c>
    </row>
    <row r="43" spans="1:7" ht="15" customHeight="1" x14ac:dyDescent="0.3">
      <c r="C43" s="420" t="str">
        <f t="shared" si="0"/>
        <v/>
      </c>
      <c r="D43" s="424" t="str">
        <f t="shared" si="4"/>
        <v/>
      </c>
      <c r="E43" s="424" t="str">
        <f t="shared" si="1"/>
        <v/>
      </c>
      <c r="F43" s="424" t="str">
        <f t="shared" si="5"/>
        <v/>
      </c>
      <c r="G43" s="424" t="str">
        <f t="shared" si="2"/>
        <v/>
      </c>
    </row>
    <row r="44" spans="1:7" ht="15" customHeight="1" x14ac:dyDescent="0.3">
      <c r="C44" s="420" t="str">
        <f t="shared" si="0"/>
        <v/>
      </c>
      <c r="D44" s="424" t="str">
        <f t="shared" si="4"/>
        <v/>
      </c>
      <c r="E44" s="424" t="str">
        <f t="shared" si="1"/>
        <v/>
      </c>
      <c r="F44" s="424" t="str">
        <f t="shared" si="5"/>
        <v/>
      </c>
      <c r="G44" s="424" t="str">
        <f t="shared" si="2"/>
        <v/>
      </c>
    </row>
    <row r="45" spans="1:7" ht="15" customHeight="1" x14ac:dyDescent="0.3">
      <c r="C45" s="420" t="str">
        <f t="shared" si="0"/>
        <v/>
      </c>
      <c r="D45" s="424" t="str">
        <f t="shared" si="4"/>
        <v/>
      </c>
      <c r="E45" s="424" t="str">
        <f t="shared" si="1"/>
        <v/>
      </c>
      <c r="F45" s="424" t="str">
        <f t="shared" si="5"/>
        <v/>
      </c>
      <c r="G45" s="424" t="str">
        <f t="shared" si="2"/>
        <v/>
      </c>
    </row>
    <row r="46" spans="1:7" ht="15" customHeight="1" x14ac:dyDescent="0.3">
      <c r="C46" s="420" t="str">
        <f t="shared" si="0"/>
        <v/>
      </c>
      <c r="D46" s="424" t="str">
        <f t="shared" si="4"/>
        <v/>
      </c>
      <c r="E46" s="424" t="str">
        <f t="shared" si="1"/>
        <v/>
      </c>
      <c r="F46" s="424" t="str">
        <f t="shared" si="5"/>
        <v/>
      </c>
      <c r="G46" s="424" t="str">
        <f t="shared" si="2"/>
        <v/>
      </c>
    </row>
    <row r="47" spans="1:7" ht="15" customHeight="1" x14ac:dyDescent="0.3">
      <c r="C47" s="420" t="str">
        <f t="shared" si="0"/>
        <v/>
      </c>
      <c r="D47" s="424" t="str">
        <f t="shared" si="4"/>
        <v/>
      </c>
      <c r="E47" s="424" t="str">
        <f t="shared" si="1"/>
        <v/>
      </c>
      <c r="F47" s="424" t="str">
        <f t="shared" si="5"/>
        <v/>
      </c>
      <c r="G47" s="424" t="str">
        <f t="shared" si="2"/>
        <v/>
      </c>
    </row>
    <row r="48" spans="1:7" ht="15" customHeight="1" x14ac:dyDescent="0.3">
      <c r="C48" s="420" t="str">
        <f t="shared" si="0"/>
        <v/>
      </c>
      <c r="D48" s="424" t="str">
        <f t="shared" si="4"/>
        <v/>
      </c>
      <c r="E48" s="424" t="str">
        <f t="shared" si="1"/>
        <v/>
      </c>
      <c r="F48" s="424" t="str">
        <f t="shared" si="5"/>
        <v/>
      </c>
      <c r="G48" s="424" t="str">
        <f t="shared" si="2"/>
        <v/>
      </c>
    </row>
    <row r="49" spans="3:7" ht="15" customHeight="1" x14ac:dyDescent="0.3">
      <c r="C49" s="420" t="str">
        <f t="shared" si="0"/>
        <v/>
      </c>
      <c r="D49" s="424" t="str">
        <f t="shared" si="4"/>
        <v/>
      </c>
      <c r="E49" s="424" t="str">
        <f t="shared" si="1"/>
        <v/>
      </c>
      <c r="F49" s="424" t="str">
        <f t="shared" si="5"/>
        <v/>
      </c>
      <c r="G49" s="424" t="str">
        <f t="shared" si="2"/>
        <v/>
      </c>
    </row>
    <row r="50" spans="3:7" ht="15" customHeight="1" x14ac:dyDescent="0.3">
      <c r="C50" s="420" t="str">
        <f t="shared" si="0"/>
        <v/>
      </c>
      <c r="D50" s="424" t="str">
        <f t="shared" si="4"/>
        <v/>
      </c>
      <c r="E50" s="424" t="str">
        <f t="shared" si="1"/>
        <v/>
      </c>
      <c r="F50" s="424" t="str">
        <f t="shared" si="5"/>
        <v/>
      </c>
      <c r="G50" s="424" t="str">
        <f t="shared" si="2"/>
        <v/>
      </c>
    </row>
    <row r="51" spans="3:7" ht="15" customHeight="1" x14ac:dyDescent="0.3">
      <c r="C51" s="420" t="str">
        <f t="shared" si="0"/>
        <v/>
      </c>
      <c r="D51" s="424" t="str">
        <f t="shared" si="4"/>
        <v/>
      </c>
      <c r="E51" s="424" t="str">
        <f t="shared" si="1"/>
        <v/>
      </c>
      <c r="F51" s="424" t="str">
        <f t="shared" si="5"/>
        <v/>
      </c>
      <c r="G51" s="424" t="str">
        <f t="shared" si="2"/>
        <v/>
      </c>
    </row>
    <row r="52" spans="3:7" ht="15" customHeight="1" x14ac:dyDescent="0.3">
      <c r="C52" s="420" t="str">
        <f t="shared" si="0"/>
        <v/>
      </c>
      <c r="D52" s="424" t="str">
        <f t="shared" si="4"/>
        <v/>
      </c>
      <c r="E52" s="424" t="str">
        <f t="shared" si="1"/>
        <v/>
      </c>
      <c r="F52" s="424" t="str">
        <f t="shared" si="5"/>
        <v/>
      </c>
      <c r="G52" s="424" t="str">
        <f t="shared" si="2"/>
        <v/>
      </c>
    </row>
    <row r="53" spans="3:7" ht="15" customHeight="1" x14ac:dyDescent="0.3">
      <c r="C53" s="420" t="str">
        <f t="shared" si="0"/>
        <v/>
      </c>
      <c r="D53" s="424" t="str">
        <f t="shared" si="4"/>
        <v/>
      </c>
      <c r="E53" s="424" t="str">
        <f t="shared" si="1"/>
        <v/>
      </c>
      <c r="F53" s="424" t="str">
        <f t="shared" si="5"/>
        <v/>
      </c>
      <c r="G53" s="424" t="str">
        <f t="shared" si="2"/>
        <v/>
      </c>
    </row>
    <row r="54" spans="3:7" ht="15" customHeight="1" x14ac:dyDescent="0.3">
      <c r="C54" s="420" t="str">
        <f t="shared" si="0"/>
        <v/>
      </c>
      <c r="D54" s="424" t="str">
        <f t="shared" si="4"/>
        <v/>
      </c>
      <c r="E54" s="424" t="str">
        <f t="shared" si="1"/>
        <v/>
      </c>
      <c r="F54" s="424" t="str">
        <f t="shared" si="5"/>
        <v/>
      </c>
      <c r="G54" s="424" t="str">
        <f t="shared" si="2"/>
        <v/>
      </c>
    </row>
    <row r="55" spans="3:7" ht="15" customHeight="1" x14ac:dyDescent="0.3">
      <c r="C55" s="420" t="str">
        <f t="shared" si="0"/>
        <v/>
      </c>
      <c r="D55" s="424" t="str">
        <f t="shared" si="4"/>
        <v/>
      </c>
      <c r="E55" s="424" t="str">
        <f t="shared" si="1"/>
        <v/>
      </c>
      <c r="F55" s="424" t="str">
        <f t="shared" si="5"/>
        <v/>
      </c>
      <c r="G55" s="424" t="str">
        <f t="shared" si="2"/>
        <v/>
      </c>
    </row>
    <row r="56" spans="3:7" ht="15" customHeight="1" x14ac:dyDescent="0.3">
      <c r="C56" s="420" t="str">
        <f t="shared" si="0"/>
        <v/>
      </c>
      <c r="D56" s="424" t="str">
        <f t="shared" si="4"/>
        <v/>
      </c>
      <c r="E56" s="424" t="str">
        <f t="shared" si="1"/>
        <v/>
      </c>
      <c r="F56" s="424" t="str">
        <f t="shared" si="5"/>
        <v/>
      </c>
      <c r="G56" s="424" t="str">
        <f t="shared" si="2"/>
        <v/>
      </c>
    </row>
    <row r="57" spans="3:7" ht="15" customHeight="1" x14ac:dyDescent="0.3">
      <c r="C57" s="420" t="str">
        <f t="shared" si="0"/>
        <v/>
      </c>
      <c r="D57" s="424" t="str">
        <f t="shared" si="4"/>
        <v/>
      </c>
      <c r="E57" s="424" t="str">
        <f t="shared" si="1"/>
        <v/>
      </c>
      <c r="F57" s="424" t="str">
        <f t="shared" si="5"/>
        <v/>
      </c>
      <c r="G57" s="424" t="str">
        <f t="shared" si="2"/>
        <v/>
      </c>
    </row>
    <row r="58" spans="3:7" ht="15" customHeight="1" x14ac:dyDescent="0.3">
      <c r="C58" s="420" t="str">
        <f t="shared" si="0"/>
        <v/>
      </c>
      <c r="D58" s="424" t="str">
        <f t="shared" si="4"/>
        <v/>
      </c>
      <c r="E58" s="424" t="str">
        <f t="shared" si="1"/>
        <v/>
      </c>
      <c r="F58" s="424" t="str">
        <f t="shared" si="5"/>
        <v/>
      </c>
      <c r="G58" s="424" t="str">
        <f t="shared" si="2"/>
        <v/>
      </c>
    </row>
    <row r="59" spans="3:7" ht="15" customHeight="1" x14ac:dyDescent="0.3">
      <c r="C59" s="420" t="str">
        <f t="shared" si="0"/>
        <v/>
      </c>
      <c r="D59" s="424" t="str">
        <f t="shared" si="4"/>
        <v/>
      </c>
      <c r="E59" s="424" t="str">
        <f t="shared" si="1"/>
        <v/>
      </c>
      <c r="F59" s="424" t="str">
        <f t="shared" si="5"/>
        <v/>
      </c>
      <c r="G59" s="424" t="str">
        <f t="shared" si="2"/>
        <v/>
      </c>
    </row>
    <row r="60" spans="3:7" ht="15" customHeight="1" x14ac:dyDescent="0.3">
      <c r="C60" s="420" t="str">
        <f t="shared" si="0"/>
        <v/>
      </c>
      <c r="D60" s="424" t="str">
        <f t="shared" si="4"/>
        <v/>
      </c>
      <c r="E60" s="424" t="str">
        <f t="shared" si="1"/>
        <v/>
      </c>
      <c r="F60" s="424" t="str">
        <f t="shared" si="5"/>
        <v/>
      </c>
      <c r="G60" s="424" t="str">
        <f t="shared" si="2"/>
        <v/>
      </c>
    </row>
    <row r="61" spans="3:7" ht="15" customHeight="1" x14ac:dyDescent="0.3">
      <c r="C61" s="420" t="str">
        <f t="shared" si="0"/>
        <v/>
      </c>
      <c r="D61" s="424" t="str">
        <f t="shared" si="4"/>
        <v/>
      </c>
      <c r="E61" s="424" t="str">
        <f t="shared" si="1"/>
        <v/>
      </c>
      <c r="F61" s="424" t="str">
        <f t="shared" si="5"/>
        <v/>
      </c>
      <c r="G61" s="424" t="str">
        <f t="shared" si="2"/>
        <v/>
      </c>
    </row>
    <row r="62" spans="3:7" ht="15" customHeight="1" x14ac:dyDescent="0.3">
      <c r="C62" s="420" t="str">
        <f t="shared" si="0"/>
        <v/>
      </c>
      <c r="D62" s="424" t="str">
        <f t="shared" si="4"/>
        <v/>
      </c>
      <c r="E62" s="424" t="str">
        <f t="shared" si="1"/>
        <v/>
      </c>
      <c r="F62" s="424" t="str">
        <f t="shared" si="5"/>
        <v/>
      </c>
      <c r="G62" s="424" t="str">
        <f t="shared" si="2"/>
        <v/>
      </c>
    </row>
    <row r="63" spans="3:7" ht="15" customHeight="1" x14ac:dyDescent="0.3">
      <c r="C63" s="420" t="str">
        <f t="shared" si="0"/>
        <v/>
      </c>
      <c r="D63" s="424" t="str">
        <f t="shared" si="4"/>
        <v/>
      </c>
      <c r="E63" s="424" t="str">
        <f t="shared" si="1"/>
        <v/>
      </c>
      <c r="F63" s="424" t="str">
        <f t="shared" si="5"/>
        <v/>
      </c>
      <c r="G63" s="424" t="str">
        <f t="shared" si="2"/>
        <v/>
      </c>
    </row>
    <row r="64" spans="3:7" ht="15" customHeight="1" x14ac:dyDescent="0.3">
      <c r="C64" s="420" t="str">
        <f t="shared" si="0"/>
        <v/>
      </c>
      <c r="D64" s="424" t="str">
        <f t="shared" si="4"/>
        <v/>
      </c>
      <c r="E64" s="424" t="str">
        <f t="shared" si="1"/>
        <v/>
      </c>
      <c r="F64" s="424" t="str">
        <f t="shared" si="5"/>
        <v/>
      </c>
      <c r="G64" s="424" t="str">
        <f t="shared" si="2"/>
        <v/>
      </c>
    </row>
    <row r="65" spans="3:7" ht="15" customHeight="1" x14ac:dyDescent="0.3">
      <c r="C65" s="420" t="str">
        <f t="shared" si="0"/>
        <v/>
      </c>
      <c r="D65" s="424" t="str">
        <f t="shared" si="4"/>
        <v/>
      </c>
      <c r="E65" s="424" t="str">
        <f t="shared" si="1"/>
        <v/>
      </c>
      <c r="F65" s="424" t="str">
        <f t="shared" si="5"/>
        <v/>
      </c>
      <c r="G65" s="424" t="str">
        <f t="shared" si="2"/>
        <v/>
      </c>
    </row>
    <row r="66" spans="3:7" ht="15" customHeight="1" x14ac:dyDescent="0.3">
      <c r="C66" s="420" t="str">
        <f t="shared" si="0"/>
        <v/>
      </c>
      <c r="D66" s="424" t="str">
        <f t="shared" si="4"/>
        <v/>
      </c>
      <c r="E66" s="424" t="str">
        <f t="shared" si="1"/>
        <v/>
      </c>
      <c r="F66" s="424" t="str">
        <f t="shared" si="5"/>
        <v/>
      </c>
      <c r="G66" s="424" t="str">
        <f t="shared" si="2"/>
        <v/>
      </c>
    </row>
    <row r="67" spans="3:7" ht="15" customHeight="1" x14ac:dyDescent="0.3">
      <c r="C67" s="420" t="str">
        <f t="shared" si="0"/>
        <v/>
      </c>
      <c r="D67" s="424" t="str">
        <f t="shared" si="4"/>
        <v/>
      </c>
      <c r="E67" s="424" t="str">
        <f t="shared" si="1"/>
        <v/>
      </c>
      <c r="F67" s="424" t="str">
        <f t="shared" si="5"/>
        <v/>
      </c>
      <c r="G67" s="424" t="str">
        <f t="shared" si="2"/>
        <v/>
      </c>
    </row>
    <row r="68" spans="3:7" ht="15" customHeight="1" x14ac:dyDescent="0.3">
      <c r="C68" s="420" t="str">
        <f t="shared" si="0"/>
        <v/>
      </c>
      <c r="D68" s="424" t="str">
        <f t="shared" si="4"/>
        <v/>
      </c>
      <c r="E68" s="424" t="str">
        <f t="shared" si="1"/>
        <v/>
      </c>
      <c r="F68" s="424" t="str">
        <f t="shared" si="5"/>
        <v/>
      </c>
      <c r="G68" s="424" t="str">
        <f t="shared" si="2"/>
        <v/>
      </c>
    </row>
    <row r="69" spans="3:7" ht="15" customHeight="1" x14ac:dyDescent="0.3">
      <c r="C69" s="420" t="str">
        <f t="shared" si="0"/>
        <v/>
      </c>
      <c r="D69" s="424" t="str">
        <f t="shared" si="4"/>
        <v/>
      </c>
      <c r="E69" s="424" t="str">
        <f t="shared" si="1"/>
        <v/>
      </c>
      <c r="F69" s="424" t="str">
        <f t="shared" si="5"/>
        <v/>
      </c>
      <c r="G69" s="424" t="str">
        <f t="shared" si="2"/>
        <v/>
      </c>
    </row>
    <row r="70" spans="3:7" ht="15" customHeight="1" x14ac:dyDescent="0.3">
      <c r="C70" s="420" t="str">
        <f t="shared" si="0"/>
        <v/>
      </c>
      <c r="D70" s="424" t="str">
        <f t="shared" si="4"/>
        <v/>
      </c>
      <c r="E70" s="424" t="str">
        <f t="shared" si="1"/>
        <v/>
      </c>
      <c r="F70" s="424" t="str">
        <f t="shared" si="5"/>
        <v/>
      </c>
      <c r="G70" s="424" t="str">
        <f t="shared" si="2"/>
        <v/>
      </c>
    </row>
    <row r="71" spans="3:7" ht="15" customHeight="1" x14ac:dyDescent="0.3">
      <c r="C71" s="420" t="str">
        <f t="shared" si="0"/>
        <v/>
      </c>
      <c r="D71" s="424" t="str">
        <f t="shared" si="4"/>
        <v/>
      </c>
      <c r="E71" s="424" t="str">
        <f t="shared" si="1"/>
        <v/>
      </c>
      <c r="F71" s="424" t="str">
        <f t="shared" si="5"/>
        <v/>
      </c>
      <c r="G71" s="424" t="str">
        <f t="shared" si="2"/>
        <v/>
      </c>
    </row>
    <row r="72" spans="3:7" ht="15" customHeight="1" x14ac:dyDescent="0.3">
      <c r="C72" s="420" t="str">
        <f t="shared" si="0"/>
        <v/>
      </c>
      <c r="D72" s="424" t="str">
        <f t="shared" si="4"/>
        <v/>
      </c>
      <c r="E72" s="424" t="str">
        <f t="shared" si="1"/>
        <v/>
      </c>
      <c r="F72" s="424" t="str">
        <f t="shared" si="5"/>
        <v/>
      </c>
      <c r="G72" s="424" t="str">
        <f t="shared" si="2"/>
        <v/>
      </c>
    </row>
    <row r="73" spans="3:7" ht="15" customHeight="1" x14ac:dyDescent="0.3">
      <c r="C73" s="420" t="str">
        <f t="shared" si="0"/>
        <v/>
      </c>
      <c r="D73" s="424" t="str">
        <f t="shared" si="4"/>
        <v/>
      </c>
      <c r="E73" s="424" t="str">
        <f t="shared" si="1"/>
        <v/>
      </c>
      <c r="F73" s="424" t="str">
        <f t="shared" si="5"/>
        <v/>
      </c>
      <c r="G73" s="424" t="str">
        <f t="shared" si="2"/>
        <v/>
      </c>
    </row>
    <row r="74" spans="3:7" ht="15" customHeight="1" x14ac:dyDescent="0.3">
      <c r="C74" s="420" t="str">
        <f t="shared" si="0"/>
        <v/>
      </c>
      <c r="D74" s="424" t="str">
        <f t="shared" si="4"/>
        <v/>
      </c>
      <c r="E74" s="424" t="str">
        <f t="shared" si="1"/>
        <v/>
      </c>
      <c r="F74" s="424" t="str">
        <f t="shared" si="5"/>
        <v/>
      </c>
      <c r="G74" s="424" t="str">
        <f t="shared" si="2"/>
        <v/>
      </c>
    </row>
    <row r="75" spans="3:7" ht="15" customHeight="1" x14ac:dyDescent="0.3">
      <c r="C75" s="420" t="str">
        <f t="shared" si="0"/>
        <v/>
      </c>
      <c r="D75" s="424" t="str">
        <f t="shared" si="4"/>
        <v/>
      </c>
      <c r="E75" s="424" t="str">
        <f t="shared" si="1"/>
        <v/>
      </c>
      <c r="F75" s="424" t="str">
        <f t="shared" si="5"/>
        <v/>
      </c>
      <c r="G75" s="424" t="str">
        <f t="shared" si="2"/>
        <v/>
      </c>
    </row>
    <row r="76" spans="3:7" ht="15" customHeight="1" x14ac:dyDescent="0.3">
      <c r="C76" s="420" t="str">
        <f t="shared" si="0"/>
        <v/>
      </c>
      <c r="D76" s="424" t="str">
        <f t="shared" si="4"/>
        <v/>
      </c>
      <c r="E76" s="424" t="str">
        <f t="shared" si="1"/>
        <v/>
      </c>
      <c r="F76" s="424" t="str">
        <f t="shared" si="5"/>
        <v/>
      </c>
      <c r="G76" s="424" t="str">
        <f t="shared" si="2"/>
        <v/>
      </c>
    </row>
    <row r="77" spans="3:7" ht="15" customHeight="1" x14ac:dyDescent="0.3">
      <c r="C77" s="420" t="str">
        <f t="shared" ref="C77:C140" si="6">IF(OR(C76=$D$8,C76=""),"",IF(ISNUMBER(C76),C76+1,1))</f>
        <v/>
      </c>
      <c r="D77" s="424" t="str">
        <f t="shared" si="4"/>
        <v/>
      </c>
      <c r="E77" s="424" t="str">
        <f t="shared" ref="E77:E140" si="7">IF(C77&gt;$D$8,"",$D$6*G76)</f>
        <v/>
      </c>
      <c r="F77" s="424" t="str">
        <f t="shared" si="5"/>
        <v/>
      </c>
      <c r="G77" s="424" t="str">
        <f t="shared" ref="G77:G140" si="8">IF(C77&gt;$D$8,"",G76-F77)</f>
        <v/>
      </c>
    </row>
    <row r="78" spans="3:7" ht="15" customHeight="1" x14ac:dyDescent="0.3">
      <c r="C78" s="420" t="str">
        <f t="shared" si="6"/>
        <v/>
      </c>
      <c r="D78" s="424" t="str">
        <f t="shared" si="4"/>
        <v/>
      </c>
      <c r="E78" s="424" t="str">
        <f t="shared" si="7"/>
        <v/>
      </c>
      <c r="F78" s="424" t="str">
        <f t="shared" si="5"/>
        <v/>
      </c>
      <c r="G78" s="424" t="str">
        <f t="shared" si="8"/>
        <v/>
      </c>
    </row>
    <row r="79" spans="3:7" ht="15" customHeight="1" x14ac:dyDescent="0.3">
      <c r="C79" s="420" t="str">
        <f t="shared" si="6"/>
        <v/>
      </c>
      <c r="D79" s="424" t="str">
        <f t="shared" si="4"/>
        <v/>
      </c>
      <c r="E79" s="424" t="str">
        <f t="shared" si="7"/>
        <v/>
      </c>
      <c r="F79" s="424" t="str">
        <f t="shared" si="5"/>
        <v/>
      </c>
      <c r="G79" s="424" t="str">
        <f t="shared" si="8"/>
        <v/>
      </c>
    </row>
    <row r="80" spans="3:7" ht="15" customHeight="1" x14ac:dyDescent="0.3">
      <c r="C80" s="420" t="str">
        <f t="shared" si="6"/>
        <v/>
      </c>
      <c r="D80" s="424" t="str">
        <f t="shared" si="4"/>
        <v/>
      </c>
      <c r="E80" s="424" t="str">
        <f t="shared" si="7"/>
        <v/>
      </c>
      <c r="F80" s="424" t="str">
        <f t="shared" si="5"/>
        <v/>
      </c>
      <c r="G80" s="424" t="str">
        <f t="shared" si="8"/>
        <v/>
      </c>
    </row>
    <row r="81" spans="3:7" ht="15" customHeight="1" x14ac:dyDescent="0.3">
      <c r="C81" s="420" t="str">
        <f t="shared" si="6"/>
        <v/>
      </c>
      <c r="D81" s="424" t="str">
        <f t="shared" si="4"/>
        <v/>
      </c>
      <c r="E81" s="424" t="str">
        <f t="shared" si="7"/>
        <v/>
      </c>
      <c r="F81" s="424" t="str">
        <f t="shared" si="5"/>
        <v/>
      </c>
      <c r="G81" s="424" t="str">
        <f t="shared" si="8"/>
        <v/>
      </c>
    </row>
    <row r="82" spans="3:7" ht="15" customHeight="1" x14ac:dyDescent="0.3">
      <c r="C82" s="420" t="str">
        <f t="shared" si="6"/>
        <v/>
      </c>
      <c r="D82" s="424" t="str">
        <f t="shared" si="4"/>
        <v/>
      </c>
      <c r="E82" s="424" t="str">
        <f t="shared" si="7"/>
        <v/>
      </c>
      <c r="F82" s="424" t="str">
        <f t="shared" si="5"/>
        <v/>
      </c>
      <c r="G82" s="424" t="str">
        <f t="shared" si="8"/>
        <v/>
      </c>
    </row>
    <row r="83" spans="3:7" ht="15" customHeight="1" x14ac:dyDescent="0.3">
      <c r="C83" s="420" t="str">
        <f t="shared" si="6"/>
        <v/>
      </c>
      <c r="D83" s="424" t="str">
        <f t="shared" si="4"/>
        <v/>
      </c>
      <c r="E83" s="424" t="str">
        <f t="shared" si="7"/>
        <v/>
      </c>
      <c r="F83" s="424" t="str">
        <f t="shared" si="5"/>
        <v/>
      </c>
      <c r="G83" s="424" t="str">
        <f t="shared" si="8"/>
        <v/>
      </c>
    </row>
    <row r="84" spans="3:7" ht="15" customHeight="1" x14ac:dyDescent="0.3">
      <c r="C84" s="420" t="str">
        <f t="shared" si="6"/>
        <v/>
      </c>
      <c r="D84" s="424" t="str">
        <f t="shared" si="4"/>
        <v/>
      </c>
      <c r="E84" s="424" t="str">
        <f t="shared" si="7"/>
        <v/>
      </c>
      <c r="F84" s="424" t="str">
        <f t="shared" si="5"/>
        <v/>
      </c>
      <c r="G84" s="424" t="str">
        <f t="shared" si="8"/>
        <v/>
      </c>
    </row>
    <row r="85" spans="3:7" ht="15" customHeight="1" x14ac:dyDescent="0.3">
      <c r="C85" s="420" t="str">
        <f t="shared" si="6"/>
        <v/>
      </c>
      <c r="D85" s="424" t="str">
        <f t="shared" si="4"/>
        <v/>
      </c>
      <c r="E85" s="424" t="str">
        <f t="shared" si="7"/>
        <v/>
      </c>
      <c r="F85" s="424" t="str">
        <f t="shared" si="5"/>
        <v/>
      </c>
      <c r="G85" s="424" t="str">
        <f t="shared" si="8"/>
        <v/>
      </c>
    </row>
    <row r="86" spans="3:7" ht="15" customHeight="1" x14ac:dyDescent="0.3">
      <c r="C86" s="420" t="str">
        <f t="shared" si="6"/>
        <v/>
      </c>
      <c r="D86" s="424" t="str">
        <f t="shared" si="4"/>
        <v/>
      </c>
      <c r="E86" s="424" t="str">
        <f t="shared" si="7"/>
        <v/>
      </c>
      <c r="F86" s="424" t="str">
        <f t="shared" si="5"/>
        <v/>
      </c>
      <c r="G86" s="424" t="str">
        <f t="shared" si="8"/>
        <v/>
      </c>
    </row>
    <row r="87" spans="3:7" ht="15" customHeight="1" x14ac:dyDescent="0.3">
      <c r="C87" s="420" t="str">
        <f t="shared" si="6"/>
        <v/>
      </c>
      <c r="D87" s="424" t="str">
        <f t="shared" si="4"/>
        <v/>
      </c>
      <c r="E87" s="424" t="str">
        <f t="shared" si="7"/>
        <v/>
      </c>
      <c r="F87" s="424" t="str">
        <f t="shared" si="5"/>
        <v/>
      </c>
      <c r="G87" s="424" t="str">
        <f t="shared" si="8"/>
        <v/>
      </c>
    </row>
    <row r="88" spans="3:7" ht="15" customHeight="1" x14ac:dyDescent="0.3">
      <c r="C88" s="420" t="str">
        <f t="shared" si="6"/>
        <v/>
      </c>
      <c r="D88" s="424" t="str">
        <f t="shared" si="4"/>
        <v/>
      </c>
      <c r="E88" s="424" t="str">
        <f t="shared" si="7"/>
        <v/>
      </c>
      <c r="F88" s="424" t="str">
        <f t="shared" si="5"/>
        <v/>
      </c>
      <c r="G88" s="424" t="str">
        <f t="shared" si="8"/>
        <v/>
      </c>
    </row>
    <row r="89" spans="3:7" ht="15" customHeight="1" x14ac:dyDescent="0.3">
      <c r="C89" s="420" t="str">
        <f t="shared" si="6"/>
        <v/>
      </c>
      <c r="D89" s="424" t="str">
        <f t="shared" si="4"/>
        <v/>
      </c>
      <c r="E89" s="424" t="str">
        <f t="shared" si="7"/>
        <v/>
      </c>
      <c r="F89" s="424" t="str">
        <f t="shared" si="5"/>
        <v/>
      </c>
      <c r="G89" s="424" t="str">
        <f t="shared" si="8"/>
        <v/>
      </c>
    </row>
    <row r="90" spans="3:7" ht="15" customHeight="1" x14ac:dyDescent="0.3">
      <c r="C90" s="420" t="str">
        <f t="shared" si="6"/>
        <v/>
      </c>
      <c r="D90" s="424" t="str">
        <f t="shared" si="4"/>
        <v/>
      </c>
      <c r="E90" s="424" t="str">
        <f t="shared" si="7"/>
        <v/>
      </c>
      <c r="F90" s="424" t="str">
        <f t="shared" si="5"/>
        <v/>
      </c>
      <c r="G90" s="424" t="str">
        <f t="shared" si="8"/>
        <v/>
      </c>
    </row>
    <row r="91" spans="3:7" ht="15" customHeight="1" x14ac:dyDescent="0.3">
      <c r="C91" s="420" t="str">
        <f t="shared" si="6"/>
        <v/>
      </c>
      <c r="D91" s="424" t="str">
        <f t="shared" si="4"/>
        <v/>
      </c>
      <c r="E91" s="424" t="str">
        <f t="shared" si="7"/>
        <v/>
      </c>
      <c r="F91" s="424" t="str">
        <f t="shared" si="5"/>
        <v/>
      </c>
      <c r="G91" s="424" t="str">
        <f t="shared" si="8"/>
        <v/>
      </c>
    </row>
    <row r="92" spans="3:7" ht="15" customHeight="1" x14ac:dyDescent="0.3">
      <c r="C92" s="420" t="str">
        <f t="shared" si="6"/>
        <v/>
      </c>
      <c r="D92" s="424" t="str">
        <f t="shared" si="4"/>
        <v/>
      </c>
      <c r="E92" s="424" t="str">
        <f t="shared" si="7"/>
        <v/>
      </c>
      <c r="F92" s="424" t="str">
        <f t="shared" si="5"/>
        <v/>
      </c>
      <c r="G92" s="424" t="str">
        <f t="shared" si="8"/>
        <v/>
      </c>
    </row>
    <row r="93" spans="3:7" ht="15" customHeight="1" x14ac:dyDescent="0.3">
      <c r="C93" s="420" t="str">
        <f t="shared" si="6"/>
        <v/>
      </c>
      <c r="D93" s="424" t="str">
        <f t="shared" si="4"/>
        <v/>
      </c>
      <c r="E93" s="424" t="str">
        <f t="shared" si="7"/>
        <v/>
      </c>
      <c r="F93" s="424" t="str">
        <f t="shared" si="5"/>
        <v/>
      </c>
      <c r="G93" s="424" t="str">
        <f t="shared" si="8"/>
        <v/>
      </c>
    </row>
    <row r="94" spans="3:7" ht="15" customHeight="1" x14ac:dyDescent="0.3">
      <c r="C94" s="420" t="str">
        <f t="shared" si="6"/>
        <v/>
      </c>
      <c r="D94" s="424" t="str">
        <f t="shared" si="4"/>
        <v/>
      </c>
      <c r="E94" s="424" t="str">
        <f t="shared" si="7"/>
        <v/>
      </c>
      <c r="F94" s="424" t="str">
        <f t="shared" si="5"/>
        <v/>
      </c>
      <c r="G94" s="424" t="str">
        <f t="shared" si="8"/>
        <v/>
      </c>
    </row>
    <row r="95" spans="3:7" ht="15" customHeight="1" x14ac:dyDescent="0.3">
      <c r="C95" s="420" t="str">
        <f t="shared" si="6"/>
        <v/>
      </c>
      <c r="D95" s="424" t="str">
        <f t="shared" si="4"/>
        <v/>
      </c>
      <c r="E95" s="424" t="str">
        <f t="shared" si="7"/>
        <v/>
      </c>
      <c r="F95" s="424" t="str">
        <f t="shared" si="5"/>
        <v/>
      </c>
      <c r="G95" s="424" t="str">
        <f t="shared" si="8"/>
        <v/>
      </c>
    </row>
    <row r="96" spans="3:7" ht="15" customHeight="1" x14ac:dyDescent="0.3">
      <c r="C96" s="420" t="str">
        <f t="shared" si="6"/>
        <v/>
      </c>
      <c r="D96" s="424" t="str">
        <f t="shared" si="4"/>
        <v/>
      </c>
      <c r="E96" s="424" t="str">
        <f t="shared" si="7"/>
        <v/>
      </c>
      <c r="F96" s="424" t="str">
        <f t="shared" si="5"/>
        <v/>
      </c>
      <c r="G96" s="424" t="str">
        <f t="shared" si="8"/>
        <v/>
      </c>
    </row>
    <row r="97" spans="3:7" ht="15" customHeight="1" x14ac:dyDescent="0.3">
      <c r="C97" s="420" t="str">
        <f t="shared" si="6"/>
        <v/>
      </c>
      <c r="D97" s="424" t="str">
        <f t="shared" ref="D97:D160" si="9">IF(C97&gt;$D$8,"",PMT($D$6,$D$8,$D$2)*-1)</f>
        <v/>
      </c>
      <c r="E97" s="424" t="str">
        <f t="shared" si="7"/>
        <v/>
      </c>
      <c r="F97" s="424" t="str">
        <f t="shared" ref="F97:F160" si="10">IF(C97&gt;$D$8,"",D97-E97)</f>
        <v/>
      </c>
      <c r="G97" s="424" t="str">
        <f t="shared" si="8"/>
        <v/>
      </c>
    </row>
    <row r="98" spans="3:7" ht="15" customHeight="1" x14ac:dyDescent="0.3">
      <c r="C98" s="420" t="str">
        <f t="shared" si="6"/>
        <v/>
      </c>
      <c r="D98" s="424" t="str">
        <f t="shared" si="9"/>
        <v/>
      </c>
      <c r="E98" s="424" t="str">
        <f t="shared" si="7"/>
        <v/>
      </c>
      <c r="F98" s="424" t="str">
        <f t="shared" si="10"/>
        <v/>
      </c>
      <c r="G98" s="424" t="str">
        <f t="shared" si="8"/>
        <v/>
      </c>
    </row>
    <row r="99" spans="3:7" ht="15" customHeight="1" x14ac:dyDescent="0.3">
      <c r="C99" s="420" t="str">
        <f t="shared" si="6"/>
        <v/>
      </c>
      <c r="D99" s="424" t="str">
        <f t="shared" si="9"/>
        <v/>
      </c>
      <c r="E99" s="424" t="str">
        <f t="shared" si="7"/>
        <v/>
      </c>
      <c r="F99" s="424" t="str">
        <f t="shared" si="10"/>
        <v/>
      </c>
      <c r="G99" s="424" t="str">
        <f t="shared" si="8"/>
        <v/>
      </c>
    </row>
    <row r="100" spans="3:7" ht="15" customHeight="1" x14ac:dyDescent="0.3">
      <c r="C100" s="420" t="str">
        <f t="shared" si="6"/>
        <v/>
      </c>
      <c r="D100" s="424" t="str">
        <f t="shared" si="9"/>
        <v/>
      </c>
      <c r="E100" s="424" t="str">
        <f t="shared" si="7"/>
        <v/>
      </c>
      <c r="F100" s="424" t="str">
        <f t="shared" si="10"/>
        <v/>
      </c>
      <c r="G100" s="424" t="str">
        <f t="shared" si="8"/>
        <v/>
      </c>
    </row>
    <row r="101" spans="3:7" ht="15" customHeight="1" x14ac:dyDescent="0.3">
      <c r="C101" s="420" t="str">
        <f t="shared" si="6"/>
        <v/>
      </c>
      <c r="D101" s="424" t="str">
        <f t="shared" si="9"/>
        <v/>
      </c>
      <c r="E101" s="424" t="str">
        <f t="shared" si="7"/>
        <v/>
      </c>
      <c r="F101" s="424" t="str">
        <f t="shared" si="10"/>
        <v/>
      </c>
      <c r="G101" s="424" t="str">
        <f t="shared" si="8"/>
        <v/>
      </c>
    </row>
    <row r="102" spans="3:7" ht="15" customHeight="1" x14ac:dyDescent="0.3">
      <c r="C102" s="420" t="str">
        <f t="shared" si="6"/>
        <v/>
      </c>
      <c r="D102" s="424" t="str">
        <f t="shared" si="9"/>
        <v/>
      </c>
      <c r="E102" s="424" t="str">
        <f t="shared" si="7"/>
        <v/>
      </c>
      <c r="F102" s="424" t="str">
        <f t="shared" si="10"/>
        <v/>
      </c>
      <c r="G102" s="424" t="str">
        <f t="shared" si="8"/>
        <v/>
      </c>
    </row>
    <row r="103" spans="3:7" ht="15" customHeight="1" x14ac:dyDescent="0.3">
      <c r="C103" s="420" t="str">
        <f t="shared" si="6"/>
        <v/>
      </c>
      <c r="D103" s="424" t="str">
        <f t="shared" si="9"/>
        <v/>
      </c>
      <c r="E103" s="424" t="str">
        <f t="shared" si="7"/>
        <v/>
      </c>
      <c r="F103" s="424" t="str">
        <f t="shared" si="10"/>
        <v/>
      </c>
      <c r="G103" s="424" t="str">
        <f t="shared" si="8"/>
        <v/>
      </c>
    </row>
    <row r="104" spans="3:7" ht="15" customHeight="1" x14ac:dyDescent="0.3">
      <c r="C104" s="420" t="str">
        <f t="shared" si="6"/>
        <v/>
      </c>
      <c r="D104" s="424" t="str">
        <f t="shared" si="9"/>
        <v/>
      </c>
      <c r="E104" s="424" t="str">
        <f t="shared" si="7"/>
        <v/>
      </c>
      <c r="F104" s="424" t="str">
        <f t="shared" si="10"/>
        <v/>
      </c>
      <c r="G104" s="424" t="str">
        <f t="shared" si="8"/>
        <v/>
      </c>
    </row>
    <row r="105" spans="3:7" ht="15" customHeight="1" x14ac:dyDescent="0.3">
      <c r="C105" s="420" t="str">
        <f t="shared" si="6"/>
        <v/>
      </c>
      <c r="D105" s="424" t="str">
        <f t="shared" si="9"/>
        <v/>
      </c>
      <c r="E105" s="424" t="str">
        <f t="shared" si="7"/>
        <v/>
      </c>
      <c r="F105" s="424" t="str">
        <f t="shared" si="10"/>
        <v/>
      </c>
      <c r="G105" s="424" t="str">
        <f t="shared" si="8"/>
        <v/>
      </c>
    </row>
    <row r="106" spans="3:7" ht="15" customHeight="1" x14ac:dyDescent="0.3">
      <c r="C106" s="420" t="str">
        <f t="shared" si="6"/>
        <v/>
      </c>
      <c r="D106" s="424" t="str">
        <f t="shared" si="9"/>
        <v/>
      </c>
      <c r="E106" s="424" t="str">
        <f t="shared" si="7"/>
        <v/>
      </c>
      <c r="F106" s="424" t="str">
        <f t="shared" si="10"/>
        <v/>
      </c>
      <c r="G106" s="424" t="str">
        <f t="shared" si="8"/>
        <v/>
      </c>
    </row>
    <row r="107" spans="3:7" ht="15" customHeight="1" x14ac:dyDescent="0.3">
      <c r="C107" s="420" t="str">
        <f t="shared" si="6"/>
        <v/>
      </c>
      <c r="D107" s="424" t="str">
        <f t="shared" si="9"/>
        <v/>
      </c>
      <c r="E107" s="424" t="str">
        <f t="shared" si="7"/>
        <v/>
      </c>
      <c r="F107" s="424" t="str">
        <f t="shared" si="10"/>
        <v/>
      </c>
      <c r="G107" s="424" t="str">
        <f t="shared" si="8"/>
        <v/>
      </c>
    </row>
    <row r="108" spans="3:7" ht="15" customHeight="1" x14ac:dyDescent="0.3">
      <c r="C108" s="420" t="str">
        <f t="shared" si="6"/>
        <v/>
      </c>
      <c r="D108" s="424" t="str">
        <f t="shared" si="9"/>
        <v/>
      </c>
      <c r="E108" s="424" t="str">
        <f t="shared" si="7"/>
        <v/>
      </c>
      <c r="F108" s="424" t="str">
        <f t="shared" si="10"/>
        <v/>
      </c>
      <c r="G108" s="424" t="str">
        <f t="shared" si="8"/>
        <v/>
      </c>
    </row>
    <row r="109" spans="3:7" ht="15" customHeight="1" x14ac:dyDescent="0.3">
      <c r="C109" s="420" t="str">
        <f t="shared" si="6"/>
        <v/>
      </c>
      <c r="D109" s="424" t="str">
        <f t="shared" si="9"/>
        <v/>
      </c>
      <c r="E109" s="424" t="str">
        <f t="shared" si="7"/>
        <v/>
      </c>
      <c r="F109" s="424" t="str">
        <f t="shared" si="10"/>
        <v/>
      </c>
      <c r="G109" s="424" t="str">
        <f t="shared" si="8"/>
        <v/>
      </c>
    </row>
    <row r="110" spans="3:7" ht="15" customHeight="1" x14ac:dyDescent="0.3">
      <c r="C110" s="420" t="str">
        <f t="shared" si="6"/>
        <v/>
      </c>
      <c r="D110" s="424" t="str">
        <f t="shared" si="9"/>
        <v/>
      </c>
      <c r="E110" s="424" t="str">
        <f t="shared" si="7"/>
        <v/>
      </c>
      <c r="F110" s="424" t="str">
        <f t="shared" si="10"/>
        <v/>
      </c>
      <c r="G110" s="424" t="str">
        <f t="shared" si="8"/>
        <v/>
      </c>
    </row>
    <row r="111" spans="3:7" ht="15" customHeight="1" x14ac:dyDescent="0.3">
      <c r="C111" s="420" t="str">
        <f t="shared" si="6"/>
        <v/>
      </c>
      <c r="D111" s="424" t="str">
        <f t="shared" si="9"/>
        <v/>
      </c>
      <c r="E111" s="424" t="str">
        <f t="shared" si="7"/>
        <v/>
      </c>
      <c r="F111" s="424" t="str">
        <f t="shared" si="10"/>
        <v/>
      </c>
      <c r="G111" s="424" t="str">
        <f t="shared" si="8"/>
        <v/>
      </c>
    </row>
    <row r="112" spans="3:7" ht="15" customHeight="1" x14ac:dyDescent="0.3">
      <c r="C112" s="420" t="str">
        <f t="shared" si="6"/>
        <v/>
      </c>
      <c r="D112" s="424" t="str">
        <f t="shared" si="9"/>
        <v/>
      </c>
      <c r="E112" s="424" t="str">
        <f t="shared" si="7"/>
        <v/>
      </c>
      <c r="F112" s="424" t="str">
        <f t="shared" si="10"/>
        <v/>
      </c>
      <c r="G112" s="424" t="str">
        <f t="shared" si="8"/>
        <v/>
      </c>
    </row>
    <row r="113" spans="3:7" ht="15" customHeight="1" x14ac:dyDescent="0.3">
      <c r="C113" s="420" t="str">
        <f t="shared" si="6"/>
        <v/>
      </c>
      <c r="D113" s="424" t="str">
        <f t="shared" si="9"/>
        <v/>
      </c>
      <c r="E113" s="424" t="str">
        <f t="shared" si="7"/>
        <v/>
      </c>
      <c r="F113" s="424" t="str">
        <f t="shared" si="10"/>
        <v/>
      </c>
      <c r="G113" s="424" t="str">
        <f t="shared" si="8"/>
        <v/>
      </c>
    </row>
    <row r="114" spans="3:7" ht="15" customHeight="1" x14ac:dyDescent="0.3">
      <c r="C114" s="420" t="str">
        <f t="shared" si="6"/>
        <v/>
      </c>
      <c r="D114" s="424" t="str">
        <f t="shared" si="9"/>
        <v/>
      </c>
      <c r="E114" s="424" t="str">
        <f t="shared" si="7"/>
        <v/>
      </c>
      <c r="F114" s="424" t="str">
        <f t="shared" si="10"/>
        <v/>
      </c>
      <c r="G114" s="424" t="str">
        <f t="shared" si="8"/>
        <v/>
      </c>
    </row>
    <row r="115" spans="3:7" ht="15" customHeight="1" x14ac:dyDescent="0.3">
      <c r="C115" s="420" t="str">
        <f t="shared" si="6"/>
        <v/>
      </c>
      <c r="D115" s="424" t="str">
        <f t="shared" si="9"/>
        <v/>
      </c>
      <c r="E115" s="424" t="str">
        <f t="shared" si="7"/>
        <v/>
      </c>
      <c r="F115" s="424" t="str">
        <f t="shared" si="10"/>
        <v/>
      </c>
      <c r="G115" s="424" t="str">
        <f t="shared" si="8"/>
        <v/>
      </c>
    </row>
    <row r="116" spans="3:7" ht="15" customHeight="1" x14ac:dyDescent="0.3">
      <c r="C116" s="420" t="str">
        <f t="shared" si="6"/>
        <v/>
      </c>
      <c r="D116" s="424" t="str">
        <f t="shared" si="9"/>
        <v/>
      </c>
      <c r="E116" s="424" t="str">
        <f t="shared" si="7"/>
        <v/>
      </c>
      <c r="F116" s="424" t="str">
        <f t="shared" si="10"/>
        <v/>
      </c>
      <c r="G116" s="424" t="str">
        <f t="shared" si="8"/>
        <v/>
      </c>
    </row>
    <row r="117" spans="3:7" ht="15" customHeight="1" x14ac:dyDescent="0.3">
      <c r="C117" s="420" t="str">
        <f t="shared" si="6"/>
        <v/>
      </c>
      <c r="D117" s="424" t="str">
        <f t="shared" si="9"/>
        <v/>
      </c>
      <c r="E117" s="424" t="str">
        <f t="shared" si="7"/>
        <v/>
      </c>
      <c r="F117" s="424" t="str">
        <f t="shared" si="10"/>
        <v/>
      </c>
      <c r="G117" s="424" t="str">
        <f t="shared" si="8"/>
        <v/>
      </c>
    </row>
    <row r="118" spans="3:7" ht="15" customHeight="1" x14ac:dyDescent="0.3">
      <c r="C118" s="420" t="str">
        <f t="shared" si="6"/>
        <v/>
      </c>
      <c r="D118" s="424" t="str">
        <f t="shared" si="9"/>
        <v/>
      </c>
      <c r="E118" s="424" t="str">
        <f t="shared" si="7"/>
        <v/>
      </c>
      <c r="F118" s="424" t="str">
        <f t="shared" si="10"/>
        <v/>
      </c>
      <c r="G118" s="424" t="str">
        <f t="shared" si="8"/>
        <v/>
      </c>
    </row>
    <row r="119" spans="3:7" ht="15" customHeight="1" x14ac:dyDescent="0.3">
      <c r="C119" s="420" t="str">
        <f t="shared" si="6"/>
        <v/>
      </c>
      <c r="D119" s="424" t="str">
        <f t="shared" si="9"/>
        <v/>
      </c>
      <c r="E119" s="424" t="str">
        <f t="shared" si="7"/>
        <v/>
      </c>
      <c r="F119" s="424" t="str">
        <f t="shared" si="10"/>
        <v/>
      </c>
      <c r="G119" s="424" t="str">
        <f t="shared" si="8"/>
        <v/>
      </c>
    </row>
    <row r="120" spans="3:7" ht="15" customHeight="1" x14ac:dyDescent="0.3">
      <c r="C120" s="420" t="str">
        <f t="shared" si="6"/>
        <v/>
      </c>
      <c r="D120" s="424" t="str">
        <f t="shared" si="9"/>
        <v/>
      </c>
      <c r="E120" s="424" t="str">
        <f t="shared" si="7"/>
        <v/>
      </c>
      <c r="F120" s="424" t="str">
        <f t="shared" si="10"/>
        <v/>
      </c>
      <c r="G120" s="424" t="str">
        <f t="shared" si="8"/>
        <v/>
      </c>
    </row>
    <row r="121" spans="3:7" ht="15" customHeight="1" x14ac:dyDescent="0.3">
      <c r="C121" s="420" t="str">
        <f t="shared" si="6"/>
        <v/>
      </c>
      <c r="D121" s="424" t="str">
        <f t="shared" si="9"/>
        <v/>
      </c>
      <c r="E121" s="424" t="str">
        <f t="shared" si="7"/>
        <v/>
      </c>
      <c r="F121" s="424" t="str">
        <f t="shared" si="10"/>
        <v/>
      </c>
      <c r="G121" s="424" t="str">
        <f t="shared" si="8"/>
        <v/>
      </c>
    </row>
    <row r="122" spans="3:7" ht="15" customHeight="1" x14ac:dyDescent="0.3">
      <c r="C122" s="420" t="str">
        <f t="shared" si="6"/>
        <v/>
      </c>
      <c r="D122" s="424" t="str">
        <f t="shared" si="9"/>
        <v/>
      </c>
      <c r="E122" s="424" t="str">
        <f t="shared" si="7"/>
        <v/>
      </c>
      <c r="F122" s="424" t="str">
        <f t="shared" si="10"/>
        <v/>
      </c>
      <c r="G122" s="424" t="str">
        <f t="shared" si="8"/>
        <v/>
      </c>
    </row>
    <row r="123" spans="3:7" ht="15" customHeight="1" x14ac:dyDescent="0.3">
      <c r="C123" s="420" t="str">
        <f t="shared" si="6"/>
        <v/>
      </c>
      <c r="D123" s="424" t="str">
        <f t="shared" si="9"/>
        <v/>
      </c>
      <c r="E123" s="424" t="str">
        <f t="shared" si="7"/>
        <v/>
      </c>
      <c r="F123" s="424" t="str">
        <f t="shared" si="10"/>
        <v/>
      </c>
      <c r="G123" s="424" t="str">
        <f t="shared" si="8"/>
        <v/>
      </c>
    </row>
    <row r="124" spans="3:7" ht="15" customHeight="1" x14ac:dyDescent="0.3">
      <c r="C124" s="420" t="str">
        <f t="shared" si="6"/>
        <v/>
      </c>
      <c r="D124" s="424" t="str">
        <f t="shared" si="9"/>
        <v/>
      </c>
      <c r="E124" s="424" t="str">
        <f t="shared" si="7"/>
        <v/>
      </c>
      <c r="F124" s="424" t="str">
        <f t="shared" si="10"/>
        <v/>
      </c>
      <c r="G124" s="424" t="str">
        <f t="shared" si="8"/>
        <v/>
      </c>
    </row>
    <row r="125" spans="3:7" ht="15" customHeight="1" x14ac:dyDescent="0.3">
      <c r="C125" s="420" t="str">
        <f t="shared" si="6"/>
        <v/>
      </c>
      <c r="D125" s="424" t="str">
        <f t="shared" si="9"/>
        <v/>
      </c>
      <c r="E125" s="424" t="str">
        <f t="shared" si="7"/>
        <v/>
      </c>
      <c r="F125" s="424" t="str">
        <f t="shared" si="10"/>
        <v/>
      </c>
      <c r="G125" s="424" t="str">
        <f t="shared" si="8"/>
        <v/>
      </c>
    </row>
    <row r="126" spans="3:7" ht="15" customHeight="1" x14ac:dyDescent="0.3">
      <c r="C126" s="420" t="str">
        <f t="shared" si="6"/>
        <v/>
      </c>
      <c r="D126" s="424" t="str">
        <f t="shared" si="9"/>
        <v/>
      </c>
      <c r="E126" s="424" t="str">
        <f t="shared" si="7"/>
        <v/>
      </c>
      <c r="F126" s="424" t="str">
        <f t="shared" si="10"/>
        <v/>
      </c>
      <c r="G126" s="424" t="str">
        <f t="shared" si="8"/>
        <v/>
      </c>
    </row>
    <row r="127" spans="3:7" ht="15" customHeight="1" x14ac:dyDescent="0.3">
      <c r="C127" s="420" t="str">
        <f t="shared" si="6"/>
        <v/>
      </c>
      <c r="D127" s="424" t="str">
        <f t="shared" si="9"/>
        <v/>
      </c>
      <c r="E127" s="424" t="str">
        <f t="shared" si="7"/>
        <v/>
      </c>
      <c r="F127" s="424" t="str">
        <f t="shared" si="10"/>
        <v/>
      </c>
      <c r="G127" s="424" t="str">
        <f t="shared" si="8"/>
        <v/>
      </c>
    </row>
    <row r="128" spans="3:7" ht="15" customHeight="1" x14ac:dyDescent="0.3">
      <c r="C128" s="420" t="str">
        <f t="shared" si="6"/>
        <v/>
      </c>
      <c r="D128" s="424" t="str">
        <f t="shared" si="9"/>
        <v/>
      </c>
      <c r="E128" s="424" t="str">
        <f t="shared" si="7"/>
        <v/>
      </c>
      <c r="F128" s="424" t="str">
        <f t="shared" si="10"/>
        <v/>
      </c>
      <c r="G128" s="424" t="str">
        <f t="shared" si="8"/>
        <v/>
      </c>
    </row>
    <row r="129" spans="3:7" ht="15" customHeight="1" x14ac:dyDescent="0.3">
      <c r="C129" s="420" t="str">
        <f t="shared" si="6"/>
        <v/>
      </c>
      <c r="D129" s="424" t="str">
        <f t="shared" si="9"/>
        <v/>
      </c>
      <c r="E129" s="424" t="str">
        <f t="shared" si="7"/>
        <v/>
      </c>
      <c r="F129" s="424" t="str">
        <f t="shared" si="10"/>
        <v/>
      </c>
      <c r="G129" s="424" t="str">
        <f t="shared" si="8"/>
        <v/>
      </c>
    </row>
    <row r="130" spans="3:7" ht="15" customHeight="1" x14ac:dyDescent="0.3">
      <c r="C130" s="420" t="str">
        <f t="shared" si="6"/>
        <v/>
      </c>
      <c r="D130" s="424" t="str">
        <f t="shared" si="9"/>
        <v/>
      </c>
      <c r="E130" s="424" t="str">
        <f t="shared" si="7"/>
        <v/>
      </c>
      <c r="F130" s="424" t="str">
        <f t="shared" si="10"/>
        <v/>
      </c>
      <c r="G130" s="424" t="str">
        <f t="shared" si="8"/>
        <v/>
      </c>
    </row>
    <row r="131" spans="3:7" ht="15" customHeight="1" x14ac:dyDescent="0.3">
      <c r="C131" s="420" t="str">
        <f t="shared" si="6"/>
        <v/>
      </c>
      <c r="D131" s="424" t="str">
        <f t="shared" si="9"/>
        <v/>
      </c>
      <c r="E131" s="424" t="str">
        <f t="shared" si="7"/>
        <v/>
      </c>
      <c r="F131" s="424" t="str">
        <f t="shared" si="10"/>
        <v/>
      </c>
      <c r="G131" s="424" t="str">
        <f t="shared" si="8"/>
        <v/>
      </c>
    </row>
    <row r="132" spans="3:7" ht="15" customHeight="1" x14ac:dyDescent="0.3">
      <c r="C132" s="420" t="str">
        <f t="shared" si="6"/>
        <v/>
      </c>
      <c r="D132" s="424" t="str">
        <f t="shared" si="9"/>
        <v/>
      </c>
      <c r="E132" s="424" t="str">
        <f t="shared" si="7"/>
        <v/>
      </c>
      <c r="F132" s="424" t="str">
        <f t="shared" si="10"/>
        <v/>
      </c>
      <c r="G132" s="424" t="str">
        <f t="shared" si="8"/>
        <v/>
      </c>
    </row>
    <row r="133" spans="3:7" ht="15" customHeight="1" x14ac:dyDescent="0.3">
      <c r="C133" s="420" t="str">
        <f t="shared" si="6"/>
        <v/>
      </c>
      <c r="D133" s="424" t="str">
        <f t="shared" si="9"/>
        <v/>
      </c>
      <c r="E133" s="424" t="str">
        <f t="shared" si="7"/>
        <v/>
      </c>
      <c r="F133" s="424" t="str">
        <f t="shared" si="10"/>
        <v/>
      </c>
      <c r="G133" s="424" t="str">
        <f t="shared" si="8"/>
        <v/>
      </c>
    </row>
    <row r="134" spans="3:7" ht="15" customHeight="1" x14ac:dyDescent="0.3">
      <c r="C134" s="420" t="str">
        <f t="shared" si="6"/>
        <v/>
      </c>
      <c r="D134" s="424" t="str">
        <f t="shared" si="9"/>
        <v/>
      </c>
      <c r="E134" s="424" t="str">
        <f t="shared" si="7"/>
        <v/>
      </c>
      <c r="F134" s="424" t="str">
        <f t="shared" si="10"/>
        <v/>
      </c>
      <c r="G134" s="424" t="str">
        <f t="shared" si="8"/>
        <v/>
      </c>
    </row>
    <row r="135" spans="3:7" ht="15" customHeight="1" x14ac:dyDescent="0.3">
      <c r="C135" s="420" t="str">
        <f t="shared" si="6"/>
        <v/>
      </c>
      <c r="D135" s="424" t="str">
        <f t="shared" si="9"/>
        <v/>
      </c>
      <c r="E135" s="424" t="str">
        <f t="shared" si="7"/>
        <v/>
      </c>
      <c r="F135" s="424" t="str">
        <f t="shared" si="10"/>
        <v/>
      </c>
      <c r="G135" s="424" t="str">
        <f t="shared" si="8"/>
        <v/>
      </c>
    </row>
    <row r="136" spans="3:7" ht="15" customHeight="1" x14ac:dyDescent="0.3">
      <c r="C136" s="420" t="str">
        <f t="shared" si="6"/>
        <v/>
      </c>
      <c r="D136" s="424" t="str">
        <f t="shared" si="9"/>
        <v/>
      </c>
      <c r="E136" s="424" t="str">
        <f t="shared" si="7"/>
        <v/>
      </c>
      <c r="F136" s="424" t="str">
        <f t="shared" si="10"/>
        <v/>
      </c>
      <c r="G136" s="424" t="str">
        <f t="shared" si="8"/>
        <v/>
      </c>
    </row>
    <row r="137" spans="3:7" ht="15" customHeight="1" x14ac:dyDescent="0.3">
      <c r="C137" s="420" t="str">
        <f t="shared" si="6"/>
        <v/>
      </c>
      <c r="D137" s="424" t="str">
        <f t="shared" si="9"/>
        <v/>
      </c>
      <c r="E137" s="424" t="str">
        <f t="shared" si="7"/>
        <v/>
      </c>
      <c r="F137" s="424" t="str">
        <f t="shared" si="10"/>
        <v/>
      </c>
      <c r="G137" s="424" t="str">
        <f t="shared" si="8"/>
        <v/>
      </c>
    </row>
    <row r="138" spans="3:7" ht="15" customHeight="1" x14ac:dyDescent="0.3">
      <c r="C138" s="420" t="str">
        <f t="shared" si="6"/>
        <v/>
      </c>
      <c r="D138" s="424" t="str">
        <f t="shared" si="9"/>
        <v/>
      </c>
      <c r="E138" s="424" t="str">
        <f t="shared" si="7"/>
        <v/>
      </c>
      <c r="F138" s="424" t="str">
        <f t="shared" si="10"/>
        <v/>
      </c>
      <c r="G138" s="424" t="str">
        <f t="shared" si="8"/>
        <v/>
      </c>
    </row>
    <row r="139" spans="3:7" ht="15" customHeight="1" x14ac:dyDescent="0.3">
      <c r="C139" s="420" t="str">
        <f t="shared" si="6"/>
        <v/>
      </c>
      <c r="D139" s="424" t="str">
        <f t="shared" si="9"/>
        <v/>
      </c>
      <c r="E139" s="424" t="str">
        <f t="shared" si="7"/>
        <v/>
      </c>
      <c r="F139" s="424" t="str">
        <f t="shared" si="10"/>
        <v/>
      </c>
      <c r="G139" s="424" t="str">
        <f t="shared" si="8"/>
        <v/>
      </c>
    </row>
    <row r="140" spans="3:7" ht="15" customHeight="1" x14ac:dyDescent="0.3">
      <c r="C140" s="420" t="str">
        <f t="shared" si="6"/>
        <v/>
      </c>
      <c r="D140" s="424" t="str">
        <f t="shared" si="9"/>
        <v/>
      </c>
      <c r="E140" s="424" t="str">
        <f t="shared" si="7"/>
        <v/>
      </c>
      <c r="F140" s="424" t="str">
        <f t="shared" si="10"/>
        <v/>
      </c>
      <c r="G140" s="424" t="str">
        <f t="shared" si="8"/>
        <v/>
      </c>
    </row>
    <row r="141" spans="3:7" ht="15" customHeight="1" x14ac:dyDescent="0.3">
      <c r="C141" s="420" t="str">
        <f t="shared" ref="C141:C204" si="11">IF(OR(C140=$D$8,C140=""),"",IF(ISNUMBER(C140),C140+1,1))</f>
        <v/>
      </c>
      <c r="D141" s="424" t="str">
        <f t="shared" si="9"/>
        <v/>
      </c>
      <c r="E141" s="424" t="str">
        <f t="shared" ref="E141:E204" si="12">IF(C141&gt;$D$8,"",$D$6*G140)</f>
        <v/>
      </c>
      <c r="F141" s="424" t="str">
        <f t="shared" si="10"/>
        <v/>
      </c>
      <c r="G141" s="424" t="str">
        <f t="shared" ref="G141:G204" si="13">IF(C141&gt;$D$8,"",G140-F141)</f>
        <v/>
      </c>
    </row>
    <row r="142" spans="3:7" ht="15" customHeight="1" x14ac:dyDescent="0.3">
      <c r="C142" s="420" t="str">
        <f t="shared" si="11"/>
        <v/>
      </c>
      <c r="D142" s="424" t="str">
        <f t="shared" si="9"/>
        <v/>
      </c>
      <c r="E142" s="424" t="str">
        <f t="shared" si="12"/>
        <v/>
      </c>
      <c r="F142" s="424" t="str">
        <f t="shared" si="10"/>
        <v/>
      </c>
      <c r="G142" s="424" t="str">
        <f t="shared" si="13"/>
        <v/>
      </c>
    </row>
    <row r="143" spans="3:7" ht="15" customHeight="1" x14ac:dyDescent="0.3">
      <c r="C143" s="420" t="str">
        <f t="shared" si="11"/>
        <v/>
      </c>
      <c r="D143" s="424" t="str">
        <f t="shared" si="9"/>
        <v/>
      </c>
      <c r="E143" s="424" t="str">
        <f t="shared" si="12"/>
        <v/>
      </c>
      <c r="F143" s="424" t="str">
        <f t="shared" si="10"/>
        <v/>
      </c>
      <c r="G143" s="424" t="str">
        <f t="shared" si="13"/>
        <v/>
      </c>
    </row>
    <row r="144" spans="3:7" ht="15" customHeight="1" x14ac:dyDescent="0.3">
      <c r="C144" s="420" t="str">
        <f t="shared" si="11"/>
        <v/>
      </c>
      <c r="D144" s="424" t="str">
        <f t="shared" si="9"/>
        <v/>
      </c>
      <c r="E144" s="424" t="str">
        <f t="shared" si="12"/>
        <v/>
      </c>
      <c r="F144" s="424" t="str">
        <f t="shared" si="10"/>
        <v/>
      </c>
      <c r="G144" s="424" t="str">
        <f t="shared" si="13"/>
        <v/>
      </c>
    </row>
    <row r="145" spans="3:7" ht="15" customHeight="1" x14ac:dyDescent="0.3">
      <c r="C145" s="420" t="str">
        <f t="shared" si="11"/>
        <v/>
      </c>
      <c r="D145" s="424" t="str">
        <f t="shared" si="9"/>
        <v/>
      </c>
      <c r="E145" s="424" t="str">
        <f t="shared" si="12"/>
        <v/>
      </c>
      <c r="F145" s="424" t="str">
        <f t="shared" si="10"/>
        <v/>
      </c>
      <c r="G145" s="424" t="str">
        <f t="shared" si="13"/>
        <v/>
      </c>
    </row>
    <row r="146" spans="3:7" ht="15" customHeight="1" x14ac:dyDescent="0.3">
      <c r="C146" s="420" t="str">
        <f t="shared" si="11"/>
        <v/>
      </c>
      <c r="D146" s="424" t="str">
        <f t="shared" si="9"/>
        <v/>
      </c>
      <c r="E146" s="424" t="str">
        <f t="shared" si="12"/>
        <v/>
      </c>
      <c r="F146" s="424" t="str">
        <f t="shared" si="10"/>
        <v/>
      </c>
      <c r="G146" s="424" t="str">
        <f t="shared" si="13"/>
        <v/>
      </c>
    </row>
    <row r="147" spans="3:7" ht="15" customHeight="1" x14ac:dyDescent="0.3">
      <c r="C147" s="420" t="str">
        <f t="shared" si="11"/>
        <v/>
      </c>
      <c r="D147" s="424" t="str">
        <f t="shared" si="9"/>
        <v/>
      </c>
      <c r="E147" s="424" t="str">
        <f t="shared" si="12"/>
        <v/>
      </c>
      <c r="F147" s="424" t="str">
        <f t="shared" si="10"/>
        <v/>
      </c>
      <c r="G147" s="424" t="str">
        <f t="shared" si="13"/>
        <v/>
      </c>
    </row>
    <row r="148" spans="3:7" ht="15" customHeight="1" x14ac:dyDescent="0.3">
      <c r="C148" s="420" t="str">
        <f t="shared" si="11"/>
        <v/>
      </c>
      <c r="D148" s="424" t="str">
        <f t="shared" si="9"/>
        <v/>
      </c>
      <c r="E148" s="424" t="str">
        <f t="shared" si="12"/>
        <v/>
      </c>
      <c r="F148" s="424" t="str">
        <f t="shared" si="10"/>
        <v/>
      </c>
      <c r="G148" s="424" t="str">
        <f t="shared" si="13"/>
        <v/>
      </c>
    </row>
    <row r="149" spans="3:7" ht="15" customHeight="1" x14ac:dyDescent="0.3">
      <c r="C149" s="420" t="str">
        <f t="shared" si="11"/>
        <v/>
      </c>
      <c r="D149" s="424" t="str">
        <f t="shared" si="9"/>
        <v/>
      </c>
      <c r="E149" s="424" t="str">
        <f t="shared" si="12"/>
        <v/>
      </c>
      <c r="F149" s="424" t="str">
        <f t="shared" si="10"/>
        <v/>
      </c>
      <c r="G149" s="424" t="str">
        <f t="shared" si="13"/>
        <v/>
      </c>
    </row>
    <row r="150" spans="3:7" ht="15" customHeight="1" x14ac:dyDescent="0.3">
      <c r="C150" s="420" t="str">
        <f t="shared" si="11"/>
        <v/>
      </c>
      <c r="D150" s="424" t="str">
        <f t="shared" si="9"/>
        <v/>
      </c>
      <c r="E150" s="424" t="str">
        <f t="shared" si="12"/>
        <v/>
      </c>
      <c r="F150" s="424" t="str">
        <f t="shared" si="10"/>
        <v/>
      </c>
      <c r="G150" s="424" t="str">
        <f t="shared" si="13"/>
        <v/>
      </c>
    </row>
    <row r="151" spans="3:7" ht="15" customHeight="1" x14ac:dyDescent="0.3">
      <c r="C151" s="420" t="str">
        <f t="shared" si="11"/>
        <v/>
      </c>
      <c r="D151" s="424" t="str">
        <f t="shared" si="9"/>
        <v/>
      </c>
      <c r="E151" s="424" t="str">
        <f t="shared" si="12"/>
        <v/>
      </c>
      <c r="F151" s="424" t="str">
        <f t="shared" si="10"/>
        <v/>
      </c>
      <c r="G151" s="424" t="str">
        <f t="shared" si="13"/>
        <v/>
      </c>
    </row>
    <row r="152" spans="3:7" ht="15" customHeight="1" x14ac:dyDescent="0.3">
      <c r="C152" s="420" t="str">
        <f t="shared" si="11"/>
        <v/>
      </c>
      <c r="D152" s="424" t="str">
        <f t="shared" si="9"/>
        <v/>
      </c>
      <c r="E152" s="424" t="str">
        <f t="shared" si="12"/>
        <v/>
      </c>
      <c r="F152" s="424" t="str">
        <f t="shared" si="10"/>
        <v/>
      </c>
      <c r="G152" s="424" t="str">
        <f t="shared" si="13"/>
        <v/>
      </c>
    </row>
    <row r="153" spans="3:7" ht="15" customHeight="1" x14ac:dyDescent="0.3">
      <c r="C153" s="420" t="str">
        <f t="shared" si="11"/>
        <v/>
      </c>
      <c r="D153" s="424" t="str">
        <f t="shared" si="9"/>
        <v/>
      </c>
      <c r="E153" s="424" t="str">
        <f t="shared" si="12"/>
        <v/>
      </c>
      <c r="F153" s="424" t="str">
        <f t="shared" si="10"/>
        <v/>
      </c>
      <c r="G153" s="424" t="str">
        <f t="shared" si="13"/>
        <v/>
      </c>
    </row>
    <row r="154" spans="3:7" ht="15" customHeight="1" x14ac:dyDescent="0.3">
      <c r="C154" s="420" t="str">
        <f t="shared" si="11"/>
        <v/>
      </c>
      <c r="D154" s="424" t="str">
        <f t="shared" si="9"/>
        <v/>
      </c>
      <c r="E154" s="424" t="str">
        <f t="shared" si="12"/>
        <v/>
      </c>
      <c r="F154" s="424" t="str">
        <f t="shared" si="10"/>
        <v/>
      </c>
      <c r="G154" s="424" t="str">
        <f t="shared" si="13"/>
        <v/>
      </c>
    </row>
    <row r="155" spans="3:7" ht="15" customHeight="1" x14ac:dyDescent="0.3">
      <c r="C155" s="420" t="str">
        <f t="shared" si="11"/>
        <v/>
      </c>
      <c r="D155" s="424" t="str">
        <f t="shared" si="9"/>
        <v/>
      </c>
      <c r="E155" s="424" t="str">
        <f t="shared" si="12"/>
        <v/>
      </c>
      <c r="F155" s="424" t="str">
        <f t="shared" si="10"/>
        <v/>
      </c>
      <c r="G155" s="424" t="str">
        <f t="shared" si="13"/>
        <v/>
      </c>
    </row>
    <row r="156" spans="3:7" ht="15" customHeight="1" x14ac:dyDescent="0.3">
      <c r="C156" s="420" t="str">
        <f t="shared" si="11"/>
        <v/>
      </c>
      <c r="D156" s="424" t="str">
        <f t="shared" si="9"/>
        <v/>
      </c>
      <c r="E156" s="424" t="str">
        <f t="shared" si="12"/>
        <v/>
      </c>
      <c r="F156" s="424" t="str">
        <f t="shared" si="10"/>
        <v/>
      </c>
      <c r="G156" s="424" t="str">
        <f t="shared" si="13"/>
        <v/>
      </c>
    </row>
    <row r="157" spans="3:7" ht="15" customHeight="1" x14ac:dyDescent="0.3">
      <c r="C157" s="420" t="str">
        <f t="shared" si="11"/>
        <v/>
      </c>
      <c r="D157" s="424" t="str">
        <f t="shared" si="9"/>
        <v/>
      </c>
      <c r="E157" s="424" t="str">
        <f t="shared" si="12"/>
        <v/>
      </c>
      <c r="F157" s="424" t="str">
        <f t="shared" si="10"/>
        <v/>
      </c>
      <c r="G157" s="424" t="str">
        <f t="shared" si="13"/>
        <v/>
      </c>
    </row>
    <row r="158" spans="3:7" ht="15" customHeight="1" x14ac:dyDescent="0.3">
      <c r="C158" s="420" t="str">
        <f t="shared" si="11"/>
        <v/>
      </c>
      <c r="D158" s="424" t="str">
        <f t="shared" si="9"/>
        <v/>
      </c>
      <c r="E158" s="424" t="str">
        <f t="shared" si="12"/>
        <v/>
      </c>
      <c r="F158" s="424" t="str">
        <f t="shared" si="10"/>
        <v/>
      </c>
      <c r="G158" s="424" t="str">
        <f t="shared" si="13"/>
        <v/>
      </c>
    </row>
    <row r="159" spans="3:7" ht="15" customHeight="1" x14ac:dyDescent="0.3">
      <c r="C159" s="420" t="str">
        <f t="shared" si="11"/>
        <v/>
      </c>
      <c r="D159" s="424" t="str">
        <f t="shared" si="9"/>
        <v/>
      </c>
      <c r="E159" s="424" t="str">
        <f t="shared" si="12"/>
        <v/>
      </c>
      <c r="F159" s="424" t="str">
        <f t="shared" si="10"/>
        <v/>
      </c>
      <c r="G159" s="424" t="str">
        <f t="shared" si="13"/>
        <v/>
      </c>
    </row>
    <row r="160" spans="3:7" ht="15" customHeight="1" x14ac:dyDescent="0.3">
      <c r="C160" s="420" t="str">
        <f t="shared" si="11"/>
        <v/>
      </c>
      <c r="D160" s="424" t="str">
        <f t="shared" si="9"/>
        <v/>
      </c>
      <c r="E160" s="424" t="str">
        <f t="shared" si="12"/>
        <v/>
      </c>
      <c r="F160" s="424" t="str">
        <f t="shared" si="10"/>
        <v/>
      </c>
      <c r="G160" s="424" t="str">
        <f t="shared" si="13"/>
        <v/>
      </c>
    </row>
    <row r="161" spans="3:7" ht="15" customHeight="1" x14ac:dyDescent="0.3">
      <c r="C161" s="420" t="str">
        <f t="shared" si="11"/>
        <v/>
      </c>
      <c r="D161" s="424" t="str">
        <f t="shared" ref="D161:D224" si="14">IF(C161&gt;$D$8,"",PMT($D$6,$D$8,$D$2)*-1)</f>
        <v/>
      </c>
      <c r="E161" s="424" t="str">
        <f t="shared" si="12"/>
        <v/>
      </c>
      <c r="F161" s="424" t="str">
        <f t="shared" ref="F161:F224" si="15">IF(C161&gt;$D$8,"",D161-E161)</f>
        <v/>
      </c>
      <c r="G161" s="424" t="str">
        <f t="shared" si="13"/>
        <v/>
      </c>
    </row>
    <row r="162" spans="3:7" ht="15" customHeight="1" x14ac:dyDescent="0.3">
      <c r="C162" s="420" t="str">
        <f t="shared" si="11"/>
        <v/>
      </c>
      <c r="D162" s="424" t="str">
        <f t="shared" si="14"/>
        <v/>
      </c>
      <c r="E162" s="424" t="str">
        <f t="shared" si="12"/>
        <v/>
      </c>
      <c r="F162" s="424" t="str">
        <f t="shared" si="15"/>
        <v/>
      </c>
      <c r="G162" s="424" t="str">
        <f t="shared" si="13"/>
        <v/>
      </c>
    </row>
    <row r="163" spans="3:7" ht="15" customHeight="1" x14ac:dyDescent="0.3">
      <c r="C163" s="420" t="str">
        <f t="shared" si="11"/>
        <v/>
      </c>
      <c r="D163" s="424" t="str">
        <f t="shared" si="14"/>
        <v/>
      </c>
      <c r="E163" s="424" t="str">
        <f t="shared" si="12"/>
        <v/>
      </c>
      <c r="F163" s="424" t="str">
        <f t="shared" si="15"/>
        <v/>
      </c>
      <c r="G163" s="424" t="str">
        <f t="shared" si="13"/>
        <v/>
      </c>
    </row>
    <row r="164" spans="3:7" ht="15" customHeight="1" x14ac:dyDescent="0.3">
      <c r="C164" s="420" t="str">
        <f t="shared" si="11"/>
        <v/>
      </c>
      <c r="D164" s="424" t="str">
        <f t="shared" si="14"/>
        <v/>
      </c>
      <c r="E164" s="424" t="str">
        <f t="shared" si="12"/>
        <v/>
      </c>
      <c r="F164" s="424" t="str">
        <f t="shared" si="15"/>
        <v/>
      </c>
      <c r="G164" s="424" t="str">
        <f t="shared" si="13"/>
        <v/>
      </c>
    </row>
    <row r="165" spans="3:7" ht="15" customHeight="1" x14ac:dyDescent="0.3">
      <c r="C165" s="420" t="str">
        <f t="shared" si="11"/>
        <v/>
      </c>
      <c r="D165" s="424" t="str">
        <f t="shared" si="14"/>
        <v/>
      </c>
      <c r="E165" s="424" t="str">
        <f t="shared" si="12"/>
        <v/>
      </c>
      <c r="F165" s="424" t="str">
        <f t="shared" si="15"/>
        <v/>
      </c>
      <c r="G165" s="424" t="str">
        <f t="shared" si="13"/>
        <v/>
      </c>
    </row>
    <row r="166" spans="3:7" ht="15" customHeight="1" x14ac:dyDescent="0.3">
      <c r="C166" s="420" t="str">
        <f t="shared" si="11"/>
        <v/>
      </c>
      <c r="D166" s="424" t="str">
        <f t="shared" si="14"/>
        <v/>
      </c>
      <c r="E166" s="424" t="str">
        <f t="shared" si="12"/>
        <v/>
      </c>
      <c r="F166" s="424" t="str">
        <f t="shared" si="15"/>
        <v/>
      </c>
      <c r="G166" s="424" t="str">
        <f t="shared" si="13"/>
        <v/>
      </c>
    </row>
    <row r="167" spans="3:7" ht="15" customHeight="1" x14ac:dyDescent="0.3">
      <c r="C167" s="420" t="str">
        <f t="shared" si="11"/>
        <v/>
      </c>
      <c r="D167" s="424" t="str">
        <f t="shared" si="14"/>
        <v/>
      </c>
      <c r="E167" s="424" t="str">
        <f t="shared" si="12"/>
        <v/>
      </c>
      <c r="F167" s="424" t="str">
        <f t="shared" si="15"/>
        <v/>
      </c>
      <c r="G167" s="424" t="str">
        <f t="shared" si="13"/>
        <v/>
      </c>
    </row>
    <row r="168" spans="3:7" ht="15" customHeight="1" x14ac:dyDescent="0.3">
      <c r="C168" s="420" t="str">
        <f t="shared" si="11"/>
        <v/>
      </c>
      <c r="D168" s="424" t="str">
        <f t="shared" si="14"/>
        <v/>
      </c>
      <c r="E168" s="424" t="str">
        <f t="shared" si="12"/>
        <v/>
      </c>
      <c r="F168" s="424" t="str">
        <f t="shared" si="15"/>
        <v/>
      </c>
      <c r="G168" s="424" t="str">
        <f t="shared" si="13"/>
        <v/>
      </c>
    </row>
    <row r="169" spans="3:7" ht="15" customHeight="1" x14ac:dyDescent="0.3">
      <c r="C169" s="420" t="str">
        <f t="shared" si="11"/>
        <v/>
      </c>
      <c r="D169" s="424" t="str">
        <f t="shared" si="14"/>
        <v/>
      </c>
      <c r="E169" s="424" t="str">
        <f t="shared" si="12"/>
        <v/>
      </c>
      <c r="F169" s="424" t="str">
        <f t="shared" si="15"/>
        <v/>
      </c>
      <c r="G169" s="424" t="str">
        <f t="shared" si="13"/>
        <v/>
      </c>
    </row>
    <row r="170" spans="3:7" ht="15" customHeight="1" x14ac:dyDescent="0.3">
      <c r="C170" s="420" t="str">
        <f t="shared" si="11"/>
        <v/>
      </c>
      <c r="D170" s="424" t="str">
        <f t="shared" si="14"/>
        <v/>
      </c>
      <c r="E170" s="424" t="str">
        <f t="shared" si="12"/>
        <v/>
      </c>
      <c r="F170" s="424" t="str">
        <f t="shared" si="15"/>
        <v/>
      </c>
      <c r="G170" s="424" t="str">
        <f t="shared" si="13"/>
        <v/>
      </c>
    </row>
    <row r="171" spans="3:7" ht="15" customHeight="1" x14ac:dyDescent="0.3">
      <c r="C171" s="420" t="str">
        <f t="shared" si="11"/>
        <v/>
      </c>
      <c r="D171" s="424" t="str">
        <f t="shared" si="14"/>
        <v/>
      </c>
      <c r="E171" s="424" t="str">
        <f t="shared" si="12"/>
        <v/>
      </c>
      <c r="F171" s="424" t="str">
        <f t="shared" si="15"/>
        <v/>
      </c>
      <c r="G171" s="424" t="str">
        <f t="shared" si="13"/>
        <v/>
      </c>
    </row>
    <row r="172" spans="3:7" ht="15" customHeight="1" x14ac:dyDescent="0.3">
      <c r="C172" s="420" t="str">
        <f t="shared" si="11"/>
        <v/>
      </c>
      <c r="D172" s="424" t="str">
        <f t="shared" si="14"/>
        <v/>
      </c>
      <c r="E172" s="424" t="str">
        <f t="shared" si="12"/>
        <v/>
      </c>
      <c r="F172" s="424" t="str">
        <f t="shared" si="15"/>
        <v/>
      </c>
      <c r="G172" s="424" t="str">
        <f t="shared" si="13"/>
        <v/>
      </c>
    </row>
    <row r="173" spans="3:7" ht="15" customHeight="1" x14ac:dyDescent="0.3">
      <c r="C173" s="420" t="str">
        <f t="shared" si="11"/>
        <v/>
      </c>
      <c r="D173" s="424" t="str">
        <f t="shared" si="14"/>
        <v/>
      </c>
      <c r="E173" s="424" t="str">
        <f t="shared" si="12"/>
        <v/>
      </c>
      <c r="F173" s="424" t="str">
        <f t="shared" si="15"/>
        <v/>
      </c>
      <c r="G173" s="424" t="str">
        <f t="shared" si="13"/>
        <v/>
      </c>
    </row>
    <row r="174" spans="3:7" ht="15" customHeight="1" x14ac:dyDescent="0.3">
      <c r="C174" s="420" t="str">
        <f t="shared" si="11"/>
        <v/>
      </c>
      <c r="D174" s="424" t="str">
        <f t="shared" si="14"/>
        <v/>
      </c>
      <c r="E174" s="424" t="str">
        <f t="shared" si="12"/>
        <v/>
      </c>
      <c r="F174" s="424" t="str">
        <f t="shared" si="15"/>
        <v/>
      </c>
      <c r="G174" s="424" t="str">
        <f t="shared" si="13"/>
        <v/>
      </c>
    </row>
    <row r="175" spans="3:7" ht="15" customHeight="1" x14ac:dyDescent="0.3">
      <c r="C175" s="420" t="str">
        <f t="shared" si="11"/>
        <v/>
      </c>
      <c r="D175" s="424" t="str">
        <f t="shared" si="14"/>
        <v/>
      </c>
      <c r="E175" s="424" t="str">
        <f t="shared" si="12"/>
        <v/>
      </c>
      <c r="F175" s="424" t="str">
        <f t="shared" si="15"/>
        <v/>
      </c>
      <c r="G175" s="424" t="str">
        <f t="shared" si="13"/>
        <v/>
      </c>
    </row>
    <row r="176" spans="3:7" ht="15" customHeight="1" x14ac:dyDescent="0.3">
      <c r="C176" s="420" t="str">
        <f t="shared" si="11"/>
        <v/>
      </c>
      <c r="D176" s="424" t="str">
        <f t="shared" si="14"/>
        <v/>
      </c>
      <c r="E176" s="424" t="str">
        <f t="shared" si="12"/>
        <v/>
      </c>
      <c r="F176" s="424" t="str">
        <f t="shared" si="15"/>
        <v/>
      </c>
      <c r="G176" s="424" t="str">
        <f t="shared" si="13"/>
        <v/>
      </c>
    </row>
    <row r="177" spans="3:7" ht="15" customHeight="1" x14ac:dyDescent="0.3">
      <c r="C177" s="420" t="str">
        <f t="shared" si="11"/>
        <v/>
      </c>
      <c r="D177" s="424" t="str">
        <f t="shared" si="14"/>
        <v/>
      </c>
      <c r="E177" s="424" t="str">
        <f t="shared" si="12"/>
        <v/>
      </c>
      <c r="F177" s="424" t="str">
        <f t="shared" si="15"/>
        <v/>
      </c>
      <c r="G177" s="424" t="str">
        <f t="shared" si="13"/>
        <v/>
      </c>
    </row>
    <row r="178" spans="3:7" ht="15" customHeight="1" x14ac:dyDescent="0.3">
      <c r="C178" s="420" t="str">
        <f t="shared" si="11"/>
        <v/>
      </c>
      <c r="D178" s="424" t="str">
        <f t="shared" si="14"/>
        <v/>
      </c>
      <c r="E178" s="424" t="str">
        <f t="shared" si="12"/>
        <v/>
      </c>
      <c r="F178" s="424" t="str">
        <f t="shared" si="15"/>
        <v/>
      </c>
      <c r="G178" s="424" t="str">
        <f t="shared" si="13"/>
        <v/>
      </c>
    </row>
    <row r="179" spans="3:7" ht="15" customHeight="1" x14ac:dyDescent="0.3">
      <c r="C179" s="420" t="str">
        <f t="shared" si="11"/>
        <v/>
      </c>
      <c r="D179" s="424" t="str">
        <f t="shared" si="14"/>
        <v/>
      </c>
      <c r="E179" s="424" t="str">
        <f t="shared" si="12"/>
        <v/>
      </c>
      <c r="F179" s="424" t="str">
        <f t="shared" si="15"/>
        <v/>
      </c>
      <c r="G179" s="424" t="str">
        <f t="shared" si="13"/>
        <v/>
      </c>
    </row>
    <row r="180" spans="3:7" ht="15" customHeight="1" x14ac:dyDescent="0.3">
      <c r="C180" s="420" t="str">
        <f t="shared" si="11"/>
        <v/>
      </c>
      <c r="D180" s="424" t="str">
        <f t="shared" si="14"/>
        <v/>
      </c>
      <c r="E180" s="424" t="str">
        <f t="shared" si="12"/>
        <v/>
      </c>
      <c r="F180" s="424" t="str">
        <f t="shared" si="15"/>
        <v/>
      </c>
      <c r="G180" s="424" t="str">
        <f t="shared" si="13"/>
        <v/>
      </c>
    </row>
    <row r="181" spans="3:7" ht="15" customHeight="1" x14ac:dyDescent="0.3">
      <c r="C181" s="420" t="str">
        <f t="shared" si="11"/>
        <v/>
      </c>
      <c r="D181" s="424" t="str">
        <f t="shared" si="14"/>
        <v/>
      </c>
      <c r="E181" s="424" t="str">
        <f t="shared" si="12"/>
        <v/>
      </c>
      <c r="F181" s="424" t="str">
        <f t="shared" si="15"/>
        <v/>
      </c>
      <c r="G181" s="424" t="str">
        <f t="shared" si="13"/>
        <v/>
      </c>
    </row>
    <row r="182" spans="3:7" ht="15" customHeight="1" x14ac:dyDescent="0.3">
      <c r="C182" s="420" t="str">
        <f t="shared" si="11"/>
        <v/>
      </c>
      <c r="D182" s="424" t="str">
        <f t="shared" si="14"/>
        <v/>
      </c>
      <c r="E182" s="424" t="str">
        <f t="shared" si="12"/>
        <v/>
      </c>
      <c r="F182" s="424" t="str">
        <f t="shared" si="15"/>
        <v/>
      </c>
      <c r="G182" s="424" t="str">
        <f t="shared" si="13"/>
        <v/>
      </c>
    </row>
    <row r="183" spans="3:7" ht="15" customHeight="1" x14ac:dyDescent="0.3">
      <c r="C183" s="420" t="str">
        <f t="shared" si="11"/>
        <v/>
      </c>
      <c r="D183" s="424" t="str">
        <f t="shared" si="14"/>
        <v/>
      </c>
      <c r="E183" s="424" t="str">
        <f t="shared" si="12"/>
        <v/>
      </c>
      <c r="F183" s="424" t="str">
        <f t="shared" si="15"/>
        <v/>
      </c>
      <c r="G183" s="424" t="str">
        <f t="shared" si="13"/>
        <v/>
      </c>
    </row>
    <row r="184" spans="3:7" ht="15" customHeight="1" x14ac:dyDescent="0.3">
      <c r="C184" s="420" t="str">
        <f t="shared" si="11"/>
        <v/>
      </c>
      <c r="D184" s="424" t="str">
        <f t="shared" si="14"/>
        <v/>
      </c>
      <c r="E184" s="424" t="str">
        <f t="shared" si="12"/>
        <v/>
      </c>
      <c r="F184" s="424" t="str">
        <f t="shared" si="15"/>
        <v/>
      </c>
      <c r="G184" s="424" t="str">
        <f t="shared" si="13"/>
        <v/>
      </c>
    </row>
    <row r="185" spans="3:7" ht="15" customHeight="1" x14ac:dyDescent="0.3">
      <c r="C185" s="420" t="str">
        <f t="shared" si="11"/>
        <v/>
      </c>
      <c r="D185" s="424" t="str">
        <f t="shared" si="14"/>
        <v/>
      </c>
      <c r="E185" s="424" t="str">
        <f t="shared" si="12"/>
        <v/>
      </c>
      <c r="F185" s="424" t="str">
        <f t="shared" si="15"/>
        <v/>
      </c>
      <c r="G185" s="424" t="str">
        <f t="shared" si="13"/>
        <v/>
      </c>
    </row>
    <row r="186" spans="3:7" ht="15" customHeight="1" x14ac:dyDescent="0.3">
      <c r="C186" s="420" t="str">
        <f t="shared" si="11"/>
        <v/>
      </c>
      <c r="D186" s="424" t="str">
        <f t="shared" si="14"/>
        <v/>
      </c>
      <c r="E186" s="424" t="str">
        <f t="shared" si="12"/>
        <v/>
      </c>
      <c r="F186" s="424" t="str">
        <f t="shared" si="15"/>
        <v/>
      </c>
      <c r="G186" s="424" t="str">
        <f t="shared" si="13"/>
        <v/>
      </c>
    </row>
    <row r="187" spans="3:7" ht="15" customHeight="1" x14ac:dyDescent="0.3">
      <c r="C187" s="420" t="str">
        <f t="shared" si="11"/>
        <v/>
      </c>
      <c r="D187" s="424" t="str">
        <f t="shared" si="14"/>
        <v/>
      </c>
      <c r="E187" s="424" t="str">
        <f t="shared" si="12"/>
        <v/>
      </c>
      <c r="F187" s="424" t="str">
        <f t="shared" si="15"/>
        <v/>
      </c>
      <c r="G187" s="424" t="str">
        <f t="shared" si="13"/>
        <v/>
      </c>
    </row>
    <row r="188" spans="3:7" ht="15" customHeight="1" x14ac:dyDescent="0.3">
      <c r="C188" s="420" t="str">
        <f t="shared" si="11"/>
        <v/>
      </c>
      <c r="D188" s="424" t="str">
        <f t="shared" si="14"/>
        <v/>
      </c>
      <c r="E188" s="424" t="str">
        <f t="shared" si="12"/>
        <v/>
      </c>
      <c r="F188" s="424" t="str">
        <f t="shared" si="15"/>
        <v/>
      </c>
      <c r="G188" s="424" t="str">
        <f t="shared" si="13"/>
        <v/>
      </c>
    </row>
    <row r="189" spans="3:7" ht="15" customHeight="1" x14ac:dyDescent="0.3">
      <c r="C189" s="420" t="str">
        <f t="shared" si="11"/>
        <v/>
      </c>
      <c r="D189" s="424" t="str">
        <f t="shared" si="14"/>
        <v/>
      </c>
      <c r="E189" s="424" t="str">
        <f t="shared" si="12"/>
        <v/>
      </c>
      <c r="F189" s="424" t="str">
        <f t="shared" si="15"/>
        <v/>
      </c>
      <c r="G189" s="424" t="str">
        <f t="shared" si="13"/>
        <v/>
      </c>
    </row>
    <row r="190" spans="3:7" ht="15" customHeight="1" x14ac:dyDescent="0.3">
      <c r="C190" s="420" t="str">
        <f t="shared" si="11"/>
        <v/>
      </c>
      <c r="D190" s="424" t="str">
        <f t="shared" si="14"/>
        <v/>
      </c>
      <c r="E190" s="424" t="str">
        <f t="shared" si="12"/>
        <v/>
      </c>
      <c r="F190" s="424" t="str">
        <f t="shared" si="15"/>
        <v/>
      </c>
      <c r="G190" s="424" t="str">
        <f t="shared" si="13"/>
        <v/>
      </c>
    </row>
    <row r="191" spans="3:7" ht="15" customHeight="1" x14ac:dyDescent="0.3">
      <c r="C191" s="420" t="str">
        <f t="shared" si="11"/>
        <v/>
      </c>
      <c r="D191" s="424" t="str">
        <f t="shared" si="14"/>
        <v/>
      </c>
      <c r="E191" s="424" t="str">
        <f t="shared" si="12"/>
        <v/>
      </c>
      <c r="F191" s="424" t="str">
        <f t="shared" si="15"/>
        <v/>
      </c>
      <c r="G191" s="424" t="str">
        <f t="shared" si="13"/>
        <v/>
      </c>
    </row>
    <row r="192" spans="3:7" ht="15" customHeight="1" x14ac:dyDescent="0.3">
      <c r="C192" s="420" t="str">
        <f t="shared" si="11"/>
        <v/>
      </c>
      <c r="D192" s="424" t="str">
        <f t="shared" si="14"/>
        <v/>
      </c>
      <c r="E192" s="424" t="str">
        <f t="shared" si="12"/>
        <v/>
      </c>
      <c r="F192" s="424" t="str">
        <f t="shared" si="15"/>
        <v/>
      </c>
      <c r="G192" s="424" t="str">
        <f t="shared" si="13"/>
        <v/>
      </c>
    </row>
    <row r="193" spans="3:7" ht="15" customHeight="1" x14ac:dyDescent="0.3">
      <c r="C193" s="420" t="str">
        <f t="shared" si="11"/>
        <v/>
      </c>
      <c r="D193" s="424" t="str">
        <f t="shared" si="14"/>
        <v/>
      </c>
      <c r="E193" s="424" t="str">
        <f t="shared" si="12"/>
        <v/>
      </c>
      <c r="F193" s="424" t="str">
        <f t="shared" si="15"/>
        <v/>
      </c>
      <c r="G193" s="424" t="str">
        <f t="shared" si="13"/>
        <v/>
      </c>
    </row>
    <row r="194" spans="3:7" ht="15" customHeight="1" x14ac:dyDescent="0.3">
      <c r="C194" s="420" t="str">
        <f t="shared" si="11"/>
        <v/>
      </c>
      <c r="D194" s="424" t="str">
        <f t="shared" si="14"/>
        <v/>
      </c>
      <c r="E194" s="424" t="str">
        <f t="shared" si="12"/>
        <v/>
      </c>
      <c r="F194" s="424" t="str">
        <f t="shared" si="15"/>
        <v/>
      </c>
      <c r="G194" s="424" t="str">
        <f t="shared" si="13"/>
        <v/>
      </c>
    </row>
    <row r="195" spans="3:7" ht="15" customHeight="1" x14ac:dyDescent="0.3">
      <c r="C195" s="420" t="str">
        <f t="shared" si="11"/>
        <v/>
      </c>
      <c r="D195" s="424" t="str">
        <f t="shared" si="14"/>
        <v/>
      </c>
      <c r="E195" s="424" t="str">
        <f t="shared" si="12"/>
        <v/>
      </c>
      <c r="F195" s="424" t="str">
        <f t="shared" si="15"/>
        <v/>
      </c>
      <c r="G195" s="424" t="str">
        <f t="shared" si="13"/>
        <v/>
      </c>
    </row>
    <row r="196" spans="3:7" ht="15" customHeight="1" x14ac:dyDescent="0.3">
      <c r="C196" s="420" t="str">
        <f t="shared" si="11"/>
        <v/>
      </c>
      <c r="D196" s="424" t="str">
        <f t="shared" si="14"/>
        <v/>
      </c>
      <c r="E196" s="424" t="str">
        <f t="shared" si="12"/>
        <v/>
      </c>
      <c r="F196" s="424" t="str">
        <f t="shared" si="15"/>
        <v/>
      </c>
      <c r="G196" s="424" t="str">
        <f t="shared" si="13"/>
        <v/>
      </c>
    </row>
    <row r="197" spans="3:7" ht="15" customHeight="1" x14ac:dyDescent="0.3">
      <c r="C197" s="420" t="str">
        <f t="shared" si="11"/>
        <v/>
      </c>
      <c r="D197" s="424" t="str">
        <f t="shared" si="14"/>
        <v/>
      </c>
      <c r="E197" s="424" t="str">
        <f t="shared" si="12"/>
        <v/>
      </c>
      <c r="F197" s="424" t="str">
        <f t="shared" si="15"/>
        <v/>
      </c>
      <c r="G197" s="424" t="str">
        <f t="shared" si="13"/>
        <v/>
      </c>
    </row>
    <row r="198" spans="3:7" ht="15" customHeight="1" x14ac:dyDescent="0.3">
      <c r="C198" s="420" t="str">
        <f t="shared" si="11"/>
        <v/>
      </c>
      <c r="D198" s="424" t="str">
        <f t="shared" si="14"/>
        <v/>
      </c>
      <c r="E198" s="424" t="str">
        <f t="shared" si="12"/>
        <v/>
      </c>
      <c r="F198" s="424" t="str">
        <f t="shared" si="15"/>
        <v/>
      </c>
      <c r="G198" s="424" t="str">
        <f t="shared" si="13"/>
        <v/>
      </c>
    </row>
    <row r="199" spans="3:7" ht="15" customHeight="1" x14ac:dyDescent="0.3">
      <c r="C199" s="420" t="str">
        <f t="shared" si="11"/>
        <v/>
      </c>
      <c r="D199" s="424" t="str">
        <f t="shared" si="14"/>
        <v/>
      </c>
      <c r="E199" s="424" t="str">
        <f t="shared" si="12"/>
        <v/>
      </c>
      <c r="F199" s="424" t="str">
        <f t="shared" si="15"/>
        <v/>
      </c>
      <c r="G199" s="424" t="str">
        <f t="shared" si="13"/>
        <v/>
      </c>
    </row>
    <row r="200" spans="3:7" ht="15" customHeight="1" x14ac:dyDescent="0.3">
      <c r="C200" s="420" t="str">
        <f t="shared" si="11"/>
        <v/>
      </c>
      <c r="D200" s="424" t="str">
        <f t="shared" si="14"/>
        <v/>
      </c>
      <c r="E200" s="424" t="str">
        <f t="shared" si="12"/>
        <v/>
      </c>
      <c r="F200" s="424" t="str">
        <f t="shared" si="15"/>
        <v/>
      </c>
      <c r="G200" s="424" t="str">
        <f t="shared" si="13"/>
        <v/>
      </c>
    </row>
    <row r="201" spans="3:7" ht="15" customHeight="1" x14ac:dyDescent="0.3">
      <c r="C201" s="420" t="str">
        <f t="shared" si="11"/>
        <v/>
      </c>
      <c r="D201" s="424" t="str">
        <f t="shared" si="14"/>
        <v/>
      </c>
      <c r="E201" s="424" t="str">
        <f t="shared" si="12"/>
        <v/>
      </c>
      <c r="F201" s="424" t="str">
        <f t="shared" si="15"/>
        <v/>
      </c>
      <c r="G201" s="424" t="str">
        <f t="shared" si="13"/>
        <v/>
      </c>
    </row>
    <row r="202" spans="3:7" ht="15" customHeight="1" x14ac:dyDescent="0.3">
      <c r="C202" s="420" t="str">
        <f t="shared" si="11"/>
        <v/>
      </c>
      <c r="D202" s="424" t="str">
        <f t="shared" si="14"/>
        <v/>
      </c>
      <c r="E202" s="424" t="str">
        <f t="shared" si="12"/>
        <v/>
      </c>
      <c r="F202" s="424" t="str">
        <f t="shared" si="15"/>
        <v/>
      </c>
      <c r="G202" s="424" t="str">
        <f t="shared" si="13"/>
        <v/>
      </c>
    </row>
    <row r="203" spans="3:7" ht="15" customHeight="1" x14ac:dyDescent="0.3">
      <c r="C203" s="420" t="str">
        <f t="shared" si="11"/>
        <v/>
      </c>
      <c r="D203" s="424" t="str">
        <f t="shared" si="14"/>
        <v/>
      </c>
      <c r="E203" s="424" t="str">
        <f t="shared" si="12"/>
        <v/>
      </c>
      <c r="F203" s="424" t="str">
        <f t="shared" si="15"/>
        <v/>
      </c>
      <c r="G203" s="424" t="str">
        <f t="shared" si="13"/>
        <v/>
      </c>
    </row>
    <row r="204" spans="3:7" ht="15" customHeight="1" x14ac:dyDescent="0.3">
      <c r="C204" s="420" t="str">
        <f t="shared" si="11"/>
        <v/>
      </c>
      <c r="D204" s="424" t="str">
        <f t="shared" si="14"/>
        <v/>
      </c>
      <c r="E204" s="424" t="str">
        <f t="shared" si="12"/>
        <v/>
      </c>
      <c r="F204" s="424" t="str">
        <f t="shared" si="15"/>
        <v/>
      </c>
      <c r="G204" s="424" t="str">
        <f t="shared" si="13"/>
        <v/>
      </c>
    </row>
    <row r="205" spans="3:7" ht="15" customHeight="1" x14ac:dyDescent="0.3">
      <c r="C205" s="420" t="str">
        <f t="shared" ref="C205:C268" si="16">IF(OR(C204=$D$8,C204=""),"",IF(ISNUMBER(C204),C204+1,1))</f>
        <v/>
      </c>
      <c r="D205" s="424" t="str">
        <f t="shared" si="14"/>
        <v/>
      </c>
      <c r="E205" s="424" t="str">
        <f t="shared" ref="E205:E268" si="17">IF(C205&gt;$D$8,"",$D$6*G204)</f>
        <v/>
      </c>
      <c r="F205" s="424" t="str">
        <f t="shared" si="15"/>
        <v/>
      </c>
      <c r="G205" s="424" t="str">
        <f t="shared" ref="G205:G268" si="18">IF(C205&gt;$D$8,"",G204-F205)</f>
        <v/>
      </c>
    </row>
    <row r="206" spans="3:7" ht="15" customHeight="1" x14ac:dyDescent="0.3">
      <c r="C206" s="420" t="str">
        <f t="shared" si="16"/>
        <v/>
      </c>
      <c r="D206" s="424" t="str">
        <f t="shared" si="14"/>
        <v/>
      </c>
      <c r="E206" s="424" t="str">
        <f t="shared" si="17"/>
        <v/>
      </c>
      <c r="F206" s="424" t="str">
        <f t="shared" si="15"/>
        <v/>
      </c>
      <c r="G206" s="424" t="str">
        <f t="shared" si="18"/>
        <v/>
      </c>
    </row>
    <row r="207" spans="3:7" ht="15" customHeight="1" x14ac:dyDescent="0.3">
      <c r="C207" s="420" t="str">
        <f t="shared" si="16"/>
        <v/>
      </c>
      <c r="D207" s="424" t="str">
        <f t="shared" si="14"/>
        <v/>
      </c>
      <c r="E207" s="424" t="str">
        <f t="shared" si="17"/>
        <v/>
      </c>
      <c r="F207" s="424" t="str">
        <f t="shared" si="15"/>
        <v/>
      </c>
      <c r="G207" s="424" t="str">
        <f t="shared" si="18"/>
        <v/>
      </c>
    </row>
    <row r="208" spans="3:7" ht="15" customHeight="1" x14ac:dyDescent="0.3">
      <c r="C208" s="420" t="str">
        <f t="shared" si="16"/>
        <v/>
      </c>
      <c r="D208" s="424" t="str">
        <f t="shared" si="14"/>
        <v/>
      </c>
      <c r="E208" s="424" t="str">
        <f t="shared" si="17"/>
        <v/>
      </c>
      <c r="F208" s="424" t="str">
        <f t="shared" si="15"/>
        <v/>
      </c>
      <c r="G208" s="424" t="str">
        <f t="shared" si="18"/>
        <v/>
      </c>
    </row>
    <row r="209" spans="3:7" ht="15" customHeight="1" x14ac:dyDescent="0.3">
      <c r="C209" s="420" t="str">
        <f t="shared" si="16"/>
        <v/>
      </c>
      <c r="D209" s="424" t="str">
        <f t="shared" si="14"/>
        <v/>
      </c>
      <c r="E209" s="424" t="str">
        <f t="shared" si="17"/>
        <v/>
      </c>
      <c r="F209" s="424" t="str">
        <f t="shared" si="15"/>
        <v/>
      </c>
      <c r="G209" s="424" t="str">
        <f t="shared" si="18"/>
        <v/>
      </c>
    </row>
    <row r="210" spans="3:7" ht="15" customHeight="1" x14ac:dyDescent="0.3">
      <c r="C210" s="420" t="str">
        <f t="shared" si="16"/>
        <v/>
      </c>
      <c r="D210" s="424" t="str">
        <f t="shared" si="14"/>
        <v/>
      </c>
      <c r="E210" s="424" t="str">
        <f t="shared" si="17"/>
        <v/>
      </c>
      <c r="F210" s="424" t="str">
        <f t="shared" si="15"/>
        <v/>
      </c>
      <c r="G210" s="424" t="str">
        <f t="shared" si="18"/>
        <v/>
      </c>
    </row>
    <row r="211" spans="3:7" ht="15" customHeight="1" x14ac:dyDescent="0.3">
      <c r="C211" s="420" t="str">
        <f t="shared" si="16"/>
        <v/>
      </c>
      <c r="D211" s="424" t="str">
        <f t="shared" si="14"/>
        <v/>
      </c>
      <c r="E211" s="424" t="str">
        <f t="shared" si="17"/>
        <v/>
      </c>
      <c r="F211" s="424" t="str">
        <f t="shared" si="15"/>
        <v/>
      </c>
      <c r="G211" s="424" t="str">
        <f t="shared" si="18"/>
        <v/>
      </c>
    </row>
    <row r="212" spans="3:7" ht="15" customHeight="1" x14ac:dyDescent="0.3">
      <c r="C212" s="420" t="str">
        <f t="shared" si="16"/>
        <v/>
      </c>
      <c r="D212" s="424" t="str">
        <f t="shared" si="14"/>
        <v/>
      </c>
      <c r="E212" s="424" t="str">
        <f t="shared" si="17"/>
        <v/>
      </c>
      <c r="F212" s="424" t="str">
        <f t="shared" si="15"/>
        <v/>
      </c>
      <c r="G212" s="424" t="str">
        <f t="shared" si="18"/>
        <v/>
      </c>
    </row>
    <row r="213" spans="3:7" ht="15" customHeight="1" x14ac:dyDescent="0.3">
      <c r="C213" s="420" t="str">
        <f t="shared" si="16"/>
        <v/>
      </c>
      <c r="D213" s="424" t="str">
        <f t="shared" si="14"/>
        <v/>
      </c>
      <c r="E213" s="424" t="str">
        <f t="shared" si="17"/>
        <v/>
      </c>
      <c r="F213" s="424" t="str">
        <f t="shared" si="15"/>
        <v/>
      </c>
      <c r="G213" s="424" t="str">
        <f t="shared" si="18"/>
        <v/>
      </c>
    </row>
    <row r="214" spans="3:7" ht="15" customHeight="1" x14ac:dyDescent="0.3">
      <c r="C214" s="420" t="str">
        <f t="shared" si="16"/>
        <v/>
      </c>
      <c r="D214" s="424" t="str">
        <f t="shared" si="14"/>
        <v/>
      </c>
      <c r="E214" s="424" t="str">
        <f t="shared" si="17"/>
        <v/>
      </c>
      <c r="F214" s="424" t="str">
        <f t="shared" si="15"/>
        <v/>
      </c>
      <c r="G214" s="424" t="str">
        <f t="shared" si="18"/>
        <v/>
      </c>
    </row>
    <row r="215" spans="3:7" ht="15" customHeight="1" x14ac:dyDescent="0.3">
      <c r="C215" s="420" t="str">
        <f t="shared" si="16"/>
        <v/>
      </c>
      <c r="D215" s="424" t="str">
        <f t="shared" si="14"/>
        <v/>
      </c>
      <c r="E215" s="424" t="str">
        <f t="shared" si="17"/>
        <v/>
      </c>
      <c r="F215" s="424" t="str">
        <f t="shared" si="15"/>
        <v/>
      </c>
      <c r="G215" s="424" t="str">
        <f t="shared" si="18"/>
        <v/>
      </c>
    </row>
    <row r="216" spans="3:7" ht="15" customHeight="1" x14ac:dyDescent="0.3">
      <c r="C216" s="420" t="str">
        <f t="shared" si="16"/>
        <v/>
      </c>
      <c r="D216" s="424" t="str">
        <f t="shared" si="14"/>
        <v/>
      </c>
      <c r="E216" s="424" t="str">
        <f t="shared" si="17"/>
        <v/>
      </c>
      <c r="F216" s="424" t="str">
        <f t="shared" si="15"/>
        <v/>
      </c>
      <c r="G216" s="424" t="str">
        <f t="shared" si="18"/>
        <v/>
      </c>
    </row>
    <row r="217" spans="3:7" ht="15" customHeight="1" x14ac:dyDescent="0.3">
      <c r="C217" s="420" t="str">
        <f t="shared" si="16"/>
        <v/>
      </c>
      <c r="D217" s="424" t="str">
        <f t="shared" si="14"/>
        <v/>
      </c>
      <c r="E217" s="424" t="str">
        <f t="shared" si="17"/>
        <v/>
      </c>
      <c r="F217" s="424" t="str">
        <f t="shared" si="15"/>
        <v/>
      </c>
      <c r="G217" s="424" t="str">
        <f t="shared" si="18"/>
        <v/>
      </c>
    </row>
    <row r="218" spans="3:7" ht="15" customHeight="1" x14ac:dyDescent="0.3">
      <c r="C218" s="420" t="str">
        <f t="shared" si="16"/>
        <v/>
      </c>
      <c r="D218" s="424" t="str">
        <f t="shared" si="14"/>
        <v/>
      </c>
      <c r="E218" s="424" t="str">
        <f t="shared" si="17"/>
        <v/>
      </c>
      <c r="F218" s="424" t="str">
        <f t="shared" si="15"/>
        <v/>
      </c>
      <c r="G218" s="424" t="str">
        <f t="shared" si="18"/>
        <v/>
      </c>
    </row>
    <row r="219" spans="3:7" ht="15" customHeight="1" x14ac:dyDescent="0.3">
      <c r="C219" s="420" t="str">
        <f t="shared" si="16"/>
        <v/>
      </c>
      <c r="D219" s="424" t="str">
        <f t="shared" si="14"/>
        <v/>
      </c>
      <c r="E219" s="424" t="str">
        <f t="shared" si="17"/>
        <v/>
      </c>
      <c r="F219" s="424" t="str">
        <f t="shared" si="15"/>
        <v/>
      </c>
      <c r="G219" s="424" t="str">
        <f t="shared" si="18"/>
        <v/>
      </c>
    </row>
    <row r="220" spans="3:7" ht="15" customHeight="1" x14ac:dyDescent="0.3">
      <c r="C220" s="420" t="str">
        <f t="shared" si="16"/>
        <v/>
      </c>
      <c r="D220" s="424" t="str">
        <f t="shared" si="14"/>
        <v/>
      </c>
      <c r="E220" s="424" t="str">
        <f t="shared" si="17"/>
        <v/>
      </c>
      <c r="F220" s="424" t="str">
        <f t="shared" si="15"/>
        <v/>
      </c>
      <c r="G220" s="424" t="str">
        <f t="shared" si="18"/>
        <v/>
      </c>
    </row>
    <row r="221" spans="3:7" ht="15" customHeight="1" x14ac:dyDescent="0.3">
      <c r="C221" s="420" t="str">
        <f t="shared" si="16"/>
        <v/>
      </c>
      <c r="D221" s="424" t="str">
        <f t="shared" si="14"/>
        <v/>
      </c>
      <c r="E221" s="424" t="str">
        <f t="shared" si="17"/>
        <v/>
      </c>
      <c r="F221" s="424" t="str">
        <f t="shared" si="15"/>
        <v/>
      </c>
      <c r="G221" s="424" t="str">
        <f t="shared" si="18"/>
        <v/>
      </c>
    </row>
    <row r="222" spans="3:7" ht="15" customHeight="1" x14ac:dyDescent="0.3">
      <c r="C222" s="420" t="str">
        <f t="shared" si="16"/>
        <v/>
      </c>
      <c r="D222" s="424" t="str">
        <f t="shared" si="14"/>
        <v/>
      </c>
      <c r="E222" s="424" t="str">
        <f t="shared" si="17"/>
        <v/>
      </c>
      <c r="F222" s="424" t="str">
        <f t="shared" si="15"/>
        <v/>
      </c>
      <c r="G222" s="424" t="str">
        <f t="shared" si="18"/>
        <v/>
      </c>
    </row>
    <row r="223" spans="3:7" ht="15" customHeight="1" x14ac:dyDescent="0.3">
      <c r="C223" s="420" t="str">
        <f t="shared" si="16"/>
        <v/>
      </c>
      <c r="D223" s="424" t="str">
        <f t="shared" si="14"/>
        <v/>
      </c>
      <c r="E223" s="424" t="str">
        <f t="shared" si="17"/>
        <v/>
      </c>
      <c r="F223" s="424" t="str">
        <f t="shared" si="15"/>
        <v/>
      </c>
      <c r="G223" s="424" t="str">
        <f t="shared" si="18"/>
        <v/>
      </c>
    </row>
    <row r="224" spans="3:7" ht="15" customHeight="1" x14ac:dyDescent="0.3">
      <c r="C224" s="420" t="str">
        <f t="shared" si="16"/>
        <v/>
      </c>
      <c r="D224" s="424" t="str">
        <f t="shared" si="14"/>
        <v/>
      </c>
      <c r="E224" s="424" t="str">
        <f t="shared" si="17"/>
        <v/>
      </c>
      <c r="F224" s="424" t="str">
        <f t="shared" si="15"/>
        <v/>
      </c>
      <c r="G224" s="424" t="str">
        <f t="shared" si="18"/>
        <v/>
      </c>
    </row>
    <row r="225" spans="3:7" ht="15" customHeight="1" x14ac:dyDescent="0.3">
      <c r="C225" s="420" t="str">
        <f t="shared" si="16"/>
        <v/>
      </c>
      <c r="D225" s="424" t="str">
        <f t="shared" ref="D225:D288" si="19">IF(C225&gt;$D$8,"",PMT($D$6,$D$8,$D$2)*-1)</f>
        <v/>
      </c>
      <c r="E225" s="424" t="str">
        <f t="shared" si="17"/>
        <v/>
      </c>
      <c r="F225" s="424" t="str">
        <f t="shared" ref="F225:F288" si="20">IF(C225&gt;$D$8,"",D225-E225)</f>
        <v/>
      </c>
      <c r="G225" s="424" t="str">
        <f t="shared" si="18"/>
        <v/>
      </c>
    </row>
    <row r="226" spans="3:7" ht="15" customHeight="1" x14ac:dyDescent="0.3">
      <c r="C226" s="420" t="str">
        <f t="shared" si="16"/>
        <v/>
      </c>
      <c r="D226" s="424" t="str">
        <f t="shared" si="19"/>
        <v/>
      </c>
      <c r="E226" s="424" t="str">
        <f t="shared" si="17"/>
        <v/>
      </c>
      <c r="F226" s="424" t="str">
        <f t="shared" si="20"/>
        <v/>
      </c>
      <c r="G226" s="424" t="str">
        <f t="shared" si="18"/>
        <v/>
      </c>
    </row>
    <row r="227" spans="3:7" ht="15" customHeight="1" x14ac:dyDescent="0.3">
      <c r="C227" s="420" t="str">
        <f t="shared" si="16"/>
        <v/>
      </c>
      <c r="D227" s="424" t="str">
        <f t="shared" si="19"/>
        <v/>
      </c>
      <c r="E227" s="424" t="str">
        <f t="shared" si="17"/>
        <v/>
      </c>
      <c r="F227" s="424" t="str">
        <f t="shared" si="20"/>
        <v/>
      </c>
      <c r="G227" s="424" t="str">
        <f t="shared" si="18"/>
        <v/>
      </c>
    </row>
    <row r="228" spans="3:7" ht="15" customHeight="1" x14ac:dyDescent="0.3">
      <c r="C228" s="420" t="str">
        <f t="shared" si="16"/>
        <v/>
      </c>
      <c r="D228" s="424" t="str">
        <f t="shared" si="19"/>
        <v/>
      </c>
      <c r="E228" s="424" t="str">
        <f t="shared" si="17"/>
        <v/>
      </c>
      <c r="F228" s="424" t="str">
        <f t="shared" si="20"/>
        <v/>
      </c>
      <c r="G228" s="424" t="str">
        <f t="shared" si="18"/>
        <v/>
      </c>
    </row>
    <row r="229" spans="3:7" ht="15" customHeight="1" x14ac:dyDescent="0.3">
      <c r="C229" s="420" t="str">
        <f t="shared" si="16"/>
        <v/>
      </c>
      <c r="D229" s="424" t="str">
        <f t="shared" si="19"/>
        <v/>
      </c>
      <c r="E229" s="424" t="str">
        <f t="shared" si="17"/>
        <v/>
      </c>
      <c r="F229" s="424" t="str">
        <f t="shared" si="20"/>
        <v/>
      </c>
      <c r="G229" s="424" t="str">
        <f t="shared" si="18"/>
        <v/>
      </c>
    </row>
    <row r="230" spans="3:7" ht="15" customHeight="1" x14ac:dyDescent="0.3">
      <c r="C230" s="420" t="str">
        <f t="shared" si="16"/>
        <v/>
      </c>
      <c r="D230" s="424" t="str">
        <f t="shared" si="19"/>
        <v/>
      </c>
      <c r="E230" s="424" t="str">
        <f t="shared" si="17"/>
        <v/>
      </c>
      <c r="F230" s="424" t="str">
        <f t="shared" si="20"/>
        <v/>
      </c>
      <c r="G230" s="424" t="str">
        <f t="shared" si="18"/>
        <v/>
      </c>
    </row>
    <row r="231" spans="3:7" ht="15" customHeight="1" x14ac:dyDescent="0.3">
      <c r="C231" s="420" t="str">
        <f t="shared" si="16"/>
        <v/>
      </c>
      <c r="D231" s="424" t="str">
        <f t="shared" si="19"/>
        <v/>
      </c>
      <c r="E231" s="424" t="str">
        <f t="shared" si="17"/>
        <v/>
      </c>
      <c r="F231" s="424" t="str">
        <f t="shared" si="20"/>
        <v/>
      </c>
      <c r="G231" s="424" t="str">
        <f t="shared" si="18"/>
        <v/>
      </c>
    </row>
    <row r="232" spans="3:7" ht="15" customHeight="1" x14ac:dyDescent="0.3">
      <c r="C232" s="420" t="str">
        <f t="shared" si="16"/>
        <v/>
      </c>
      <c r="D232" s="424" t="str">
        <f t="shared" si="19"/>
        <v/>
      </c>
      <c r="E232" s="424" t="str">
        <f t="shared" si="17"/>
        <v/>
      </c>
      <c r="F232" s="424" t="str">
        <f t="shared" si="20"/>
        <v/>
      </c>
      <c r="G232" s="424" t="str">
        <f t="shared" si="18"/>
        <v/>
      </c>
    </row>
    <row r="233" spans="3:7" ht="15" customHeight="1" x14ac:dyDescent="0.3">
      <c r="C233" s="420" t="str">
        <f t="shared" si="16"/>
        <v/>
      </c>
      <c r="D233" s="424" t="str">
        <f t="shared" si="19"/>
        <v/>
      </c>
      <c r="E233" s="424" t="str">
        <f t="shared" si="17"/>
        <v/>
      </c>
      <c r="F233" s="424" t="str">
        <f t="shared" si="20"/>
        <v/>
      </c>
      <c r="G233" s="424" t="str">
        <f t="shared" si="18"/>
        <v/>
      </c>
    </row>
    <row r="234" spans="3:7" ht="15" customHeight="1" x14ac:dyDescent="0.3">
      <c r="C234" s="420" t="str">
        <f t="shared" si="16"/>
        <v/>
      </c>
      <c r="D234" s="424" t="str">
        <f t="shared" si="19"/>
        <v/>
      </c>
      <c r="E234" s="424" t="str">
        <f t="shared" si="17"/>
        <v/>
      </c>
      <c r="F234" s="424" t="str">
        <f t="shared" si="20"/>
        <v/>
      </c>
      <c r="G234" s="424" t="str">
        <f t="shared" si="18"/>
        <v/>
      </c>
    </row>
    <row r="235" spans="3:7" ht="15" customHeight="1" x14ac:dyDescent="0.3">
      <c r="C235" s="420" t="str">
        <f t="shared" si="16"/>
        <v/>
      </c>
      <c r="D235" s="424" t="str">
        <f t="shared" si="19"/>
        <v/>
      </c>
      <c r="E235" s="424" t="str">
        <f t="shared" si="17"/>
        <v/>
      </c>
      <c r="F235" s="424" t="str">
        <f t="shared" si="20"/>
        <v/>
      </c>
      <c r="G235" s="424" t="str">
        <f t="shared" si="18"/>
        <v/>
      </c>
    </row>
    <row r="236" spans="3:7" ht="15" customHeight="1" x14ac:dyDescent="0.3">
      <c r="C236" s="420" t="str">
        <f t="shared" si="16"/>
        <v/>
      </c>
      <c r="D236" s="424" t="str">
        <f t="shared" si="19"/>
        <v/>
      </c>
      <c r="E236" s="424" t="str">
        <f t="shared" si="17"/>
        <v/>
      </c>
      <c r="F236" s="424" t="str">
        <f t="shared" si="20"/>
        <v/>
      </c>
      <c r="G236" s="424" t="str">
        <f t="shared" si="18"/>
        <v/>
      </c>
    </row>
    <row r="237" spans="3:7" ht="15" customHeight="1" x14ac:dyDescent="0.3">
      <c r="C237" s="420" t="str">
        <f t="shared" si="16"/>
        <v/>
      </c>
      <c r="D237" s="424" t="str">
        <f t="shared" si="19"/>
        <v/>
      </c>
      <c r="E237" s="424" t="str">
        <f t="shared" si="17"/>
        <v/>
      </c>
      <c r="F237" s="424" t="str">
        <f t="shared" si="20"/>
        <v/>
      </c>
      <c r="G237" s="424" t="str">
        <f t="shared" si="18"/>
        <v/>
      </c>
    </row>
    <row r="238" spans="3:7" ht="15" customHeight="1" x14ac:dyDescent="0.3">
      <c r="C238" s="420" t="str">
        <f t="shared" si="16"/>
        <v/>
      </c>
      <c r="D238" s="424" t="str">
        <f t="shared" si="19"/>
        <v/>
      </c>
      <c r="E238" s="424" t="str">
        <f t="shared" si="17"/>
        <v/>
      </c>
      <c r="F238" s="424" t="str">
        <f t="shared" si="20"/>
        <v/>
      </c>
      <c r="G238" s="424" t="str">
        <f t="shared" si="18"/>
        <v/>
      </c>
    </row>
    <row r="239" spans="3:7" ht="15" customHeight="1" x14ac:dyDescent="0.3">
      <c r="C239" s="420" t="str">
        <f t="shared" si="16"/>
        <v/>
      </c>
      <c r="D239" s="424" t="str">
        <f t="shared" si="19"/>
        <v/>
      </c>
      <c r="E239" s="424" t="str">
        <f t="shared" si="17"/>
        <v/>
      </c>
      <c r="F239" s="424" t="str">
        <f t="shared" si="20"/>
        <v/>
      </c>
      <c r="G239" s="424" t="str">
        <f t="shared" si="18"/>
        <v/>
      </c>
    </row>
    <row r="240" spans="3:7" ht="15" customHeight="1" x14ac:dyDescent="0.3">
      <c r="C240" s="420" t="str">
        <f t="shared" si="16"/>
        <v/>
      </c>
      <c r="D240" s="424" t="str">
        <f t="shared" si="19"/>
        <v/>
      </c>
      <c r="E240" s="424" t="str">
        <f t="shared" si="17"/>
        <v/>
      </c>
      <c r="F240" s="424" t="str">
        <f t="shared" si="20"/>
        <v/>
      </c>
      <c r="G240" s="424" t="str">
        <f t="shared" si="18"/>
        <v/>
      </c>
    </row>
    <row r="241" spans="3:7" ht="15" customHeight="1" x14ac:dyDescent="0.3">
      <c r="C241" s="420" t="str">
        <f t="shared" si="16"/>
        <v/>
      </c>
      <c r="D241" s="424" t="str">
        <f t="shared" si="19"/>
        <v/>
      </c>
      <c r="E241" s="424" t="str">
        <f t="shared" si="17"/>
        <v/>
      </c>
      <c r="F241" s="424" t="str">
        <f t="shared" si="20"/>
        <v/>
      </c>
      <c r="G241" s="424" t="str">
        <f t="shared" si="18"/>
        <v/>
      </c>
    </row>
    <row r="242" spans="3:7" ht="15" customHeight="1" x14ac:dyDescent="0.3">
      <c r="C242" s="420" t="str">
        <f t="shared" si="16"/>
        <v/>
      </c>
      <c r="D242" s="424" t="str">
        <f t="shared" si="19"/>
        <v/>
      </c>
      <c r="E242" s="424" t="str">
        <f t="shared" si="17"/>
        <v/>
      </c>
      <c r="F242" s="424" t="str">
        <f t="shared" si="20"/>
        <v/>
      </c>
      <c r="G242" s="424" t="str">
        <f t="shared" si="18"/>
        <v/>
      </c>
    </row>
    <row r="243" spans="3:7" ht="15" customHeight="1" x14ac:dyDescent="0.3">
      <c r="C243" s="420" t="str">
        <f t="shared" si="16"/>
        <v/>
      </c>
      <c r="D243" s="424" t="str">
        <f t="shared" si="19"/>
        <v/>
      </c>
      <c r="E243" s="424" t="str">
        <f t="shared" si="17"/>
        <v/>
      </c>
      <c r="F243" s="424" t="str">
        <f t="shared" si="20"/>
        <v/>
      </c>
      <c r="G243" s="424" t="str">
        <f t="shared" si="18"/>
        <v/>
      </c>
    </row>
    <row r="244" spans="3:7" ht="15" customHeight="1" x14ac:dyDescent="0.3">
      <c r="C244" s="420" t="str">
        <f t="shared" si="16"/>
        <v/>
      </c>
      <c r="D244" s="424" t="str">
        <f t="shared" si="19"/>
        <v/>
      </c>
      <c r="E244" s="424" t="str">
        <f t="shared" si="17"/>
        <v/>
      </c>
      <c r="F244" s="424" t="str">
        <f t="shared" si="20"/>
        <v/>
      </c>
      <c r="G244" s="424" t="str">
        <f t="shared" si="18"/>
        <v/>
      </c>
    </row>
    <row r="245" spans="3:7" ht="15" customHeight="1" x14ac:dyDescent="0.3">
      <c r="C245" s="420" t="str">
        <f t="shared" si="16"/>
        <v/>
      </c>
      <c r="D245" s="424" t="str">
        <f t="shared" si="19"/>
        <v/>
      </c>
      <c r="E245" s="424" t="str">
        <f t="shared" si="17"/>
        <v/>
      </c>
      <c r="F245" s="424" t="str">
        <f t="shared" si="20"/>
        <v/>
      </c>
      <c r="G245" s="424" t="str">
        <f t="shared" si="18"/>
        <v/>
      </c>
    </row>
    <row r="246" spans="3:7" ht="15" customHeight="1" x14ac:dyDescent="0.3">
      <c r="C246" s="420" t="str">
        <f t="shared" si="16"/>
        <v/>
      </c>
      <c r="D246" s="424" t="str">
        <f t="shared" si="19"/>
        <v/>
      </c>
      <c r="E246" s="424" t="str">
        <f t="shared" si="17"/>
        <v/>
      </c>
      <c r="F246" s="424" t="str">
        <f t="shared" si="20"/>
        <v/>
      </c>
      <c r="G246" s="424" t="str">
        <f t="shared" si="18"/>
        <v/>
      </c>
    </row>
    <row r="247" spans="3:7" ht="15" customHeight="1" x14ac:dyDescent="0.3">
      <c r="C247" s="420" t="str">
        <f t="shared" si="16"/>
        <v/>
      </c>
      <c r="D247" s="424" t="str">
        <f t="shared" si="19"/>
        <v/>
      </c>
      <c r="E247" s="424" t="str">
        <f t="shared" si="17"/>
        <v/>
      </c>
      <c r="F247" s="424" t="str">
        <f t="shared" si="20"/>
        <v/>
      </c>
      <c r="G247" s="424" t="str">
        <f t="shared" si="18"/>
        <v/>
      </c>
    </row>
    <row r="248" spans="3:7" ht="15" customHeight="1" x14ac:dyDescent="0.3">
      <c r="C248" s="420" t="str">
        <f t="shared" si="16"/>
        <v/>
      </c>
      <c r="D248" s="424" t="str">
        <f t="shared" si="19"/>
        <v/>
      </c>
      <c r="E248" s="424" t="str">
        <f t="shared" si="17"/>
        <v/>
      </c>
      <c r="F248" s="424" t="str">
        <f t="shared" si="20"/>
        <v/>
      </c>
      <c r="G248" s="424" t="str">
        <f t="shared" si="18"/>
        <v/>
      </c>
    </row>
    <row r="249" spans="3:7" ht="15" customHeight="1" x14ac:dyDescent="0.3">
      <c r="C249" s="420" t="str">
        <f t="shared" si="16"/>
        <v/>
      </c>
      <c r="D249" s="424" t="str">
        <f t="shared" si="19"/>
        <v/>
      </c>
      <c r="E249" s="424" t="str">
        <f t="shared" si="17"/>
        <v/>
      </c>
      <c r="F249" s="424" t="str">
        <f t="shared" si="20"/>
        <v/>
      </c>
      <c r="G249" s="424" t="str">
        <f t="shared" si="18"/>
        <v/>
      </c>
    </row>
    <row r="250" spans="3:7" ht="15" customHeight="1" x14ac:dyDescent="0.3">
      <c r="C250" s="420" t="str">
        <f t="shared" si="16"/>
        <v/>
      </c>
      <c r="D250" s="424" t="str">
        <f t="shared" si="19"/>
        <v/>
      </c>
      <c r="E250" s="424" t="str">
        <f t="shared" si="17"/>
        <v/>
      </c>
      <c r="F250" s="424" t="str">
        <f t="shared" si="20"/>
        <v/>
      </c>
      <c r="G250" s="424" t="str">
        <f t="shared" si="18"/>
        <v/>
      </c>
    </row>
    <row r="251" spans="3:7" ht="15" customHeight="1" x14ac:dyDescent="0.3">
      <c r="C251" s="420" t="str">
        <f t="shared" si="16"/>
        <v/>
      </c>
      <c r="D251" s="424" t="str">
        <f t="shared" si="19"/>
        <v/>
      </c>
      <c r="E251" s="424" t="str">
        <f t="shared" si="17"/>
        <v/>
      </c>
      <c r="F251" s="424" t="str">
        <f t="shared" si="20"/>
        <v/>
      </c>
      <c r="G251" s="424" t="str">
        <f t="shared" si="18"/>
        <v/>
      </c>
    </row>
    <row r="252" spans="3:7" ht="15" customHeight="1" x14ac:dyDescent="0.3">
      <c r="C252" s="420" t="str">
        <f t="shared" si="16"/>
        <v/>
      </c>
      <c r="D252" s="424" t="str">
        <f t="shared" si="19"/>
        <v/>
      </c>
      <c r="E252" s="424" t="str">
        <f t="shared" si="17"/>
        <v/>
      </c>
      <c r="F252" s="424" t="str">
        <f t="shared" si="20"/>
        <v/>
      </c>
      <c r="G252" s="424" t="str">
        <f t="shared" si="18"/>
        <v/>
      </c>
    </row>
    <row r="253" spans="3:7" ht="15" customHeight="1" x14ac:dyDescent="0.3">
      <c r="C253" s="420" t="str">
        <f t="shared" si="16"/>
        <v/>
      </c>
      <c r="D253" s="424" t="str">
        <f t="shared" si="19"/>
        <v/>
      </c>
      <c r="E253" s="424" t="str">
        <f t="shared" si="17"/>
        <v/>
      </c>
      <c r="F253" s="424" t="str">
        <f t="shared" si="20"/>
        <v/>
      </c>
      <c r="G253" s="424" t="str">
        <f t="shared" si="18"/>
        <v/>
      </c>
    </row>
    <row r="254" spans="3:7" ht="15" customHeight="1" x14ac:dyDescent="0.3">
      <c r="C254" s="420" t="str">
        <f t="shared" si="16"/>
        <v/>
      </c>
      <c r="D254" s="424" t="str">
        <f t="shared" si="19"/>
        <v/>
      </c>
      <c r="E254" s="424" t="str">
        <f t="shared" si="17"/>
        <v/>
      </c>
      <c r="F254" s="424" t="str">
        <f t="shared" si="20"/>
        <v/>
      </c>
      <c r="G254" s="424" t="str">
        <f t="shared" si="18"/>
        <v/>
      </c>
    </row>
    <row r="255" spans="3:7" ht="15" customHeight="1" x14ac:dyDescent="0.3">
      <c r="C255" s="420" t="str">
        <f t="shared" si="16"/>
        <v/>
      </c>
      <c r="D255" s="424" t="str">
        <f t="shared" si="19"/>
        <v/>
      </c>
      <c r="E255" s="424" t="str">
        <f t="shared" si="17"/>
        <v/>
      </c>
      <c r="F255" s="424" t="str">
        <f t="shared" si="20"/>
        <v/>
      </c>
      <c r="G255" s="424" t="str">
        <f t="shared" si="18"/>
        <v/>
      </c>
    </row>
    <row r="256" spans="3:7" ht="15" customHeight="1" x14ac:dyDescent="0.3">
      <c r="C256" s="420" t="str">
        <f t="shared" si="16"/>
        <v/>
      </c>
      <c r="D256" s="424" t="str">
        <f t="shared" si="19"/>
        <v/>
      </c>
      <c r="E256" s="424" t="str">
        <f t="shared" si="17"/>
        <v/>
      </c>
      <c r="F256" s="424" t="str">
        <f t="shared" si="20"/>
        <v/>
      </c>
      <c r="G256" s="424" t="str">
        <f t="shared" si="18"/>
        <v/>
      </c>
    </row>
    <row r="257" spans="3:7" ht="15" customHeight="1" x14ac:dyDescent="0.3">
      <c r="C257" s="420" t="str">
        <f t="shared" si="16"/>
        <v/>
      </c>
      <c r="D257" s="424" t="str">
        <f t="shared" si="19"/>
        <v/>
      </c>
      <c r="E257" s="424" t="str">
        <f t="shared" si="17"/>
        <v/>
      </c>
      <c r="F257" s="424" t="str">
        <f t="shared" si="20"/>
        <v/>
      </c>
      <c r="G257" s="424" t="str">
        <f t="shared" si="18"/>
        <v/>
      </c>
    </row>
    <row r="258" spans="3:7" ht="15" customHeight="1" x14ac:dyDescent="0.3">
      <c r="C258" s="420" t="str">
        <f t="shared" si="16"/>
        <v/>
      </c>
      <c r="D258" s="424" t="str">
        <f t="shared" si="19"/>
        <v/>
      </c>
      <c r="E258" s="424" t="str">
        <f t="shared" si="17"/>
        <v/>
      </c>
      <c r="F258" s="424" t="str">
        <f t="shared" si="20"/>
        <v/>
      </c>
      <c r="G258" s="424" t="str">
        <f t="shared" si="18"/>
        <v/>
      </c>
    </row>
    <row r="259" spans="3:7" ht="15" customHeight="1" x14ac:dyDescent="0.3">
      <c r="C259" s="420" t="str">
        <f t="shared" si="16"/>
        <v/>
      </c>
      <c r="D259" s="424" t="str">
        <f t="shared" si="19"/>
        <v/>
      </c>
      <c r="E259" s="424" t="str">
        <f t="shared" si="17"/>
        <v/>
      </c>
      <c r="F259" s="424" t="str">
        <f t="shared" si="20"/>
        <v/>
      </c>
      <c r="G259" s="424" t="str">
        <f t="shared" si="18"/>
        <v/>
      </c>
    </row>
    <row r="260" spans="3:7" ht="15" customHeight="1" x14ac:dyDescent="0.3">
      <c r="C260" s="420" t="str">
        <f t="shared" si="16"/>
        <v/>
      </c>
      <c r="D260" s="424" t="str">
        <f t="shared" si="19"/>
        <v/>
      </c>
      <c r="E260" s="424" t="str">
        <f t="shared" si="17"/>
        <v/>
      </c>
      <c r="F260" s="424" t="str">
        <f t="shared" si="20"/>
        <v/>
      </c>
      <c r="G260" s="424" t="str">
        <f t="shared" si="18"/>
        <v/>
      </c>
    </row>
    <row r="261" spans="3:7" ht="15" customHeight="1" x14ac:dyDescent="0.3">
      <c r="C261" s="420" t="str">
        <f t="shared" si="16"/>
        <v/>
      </c>
      <c r="D261" s="424" t="str">
        <f t="shared" si="19"/>
        <v/>
      </c>
      <c r="E261" s="424" t="str">
        <f t="shared" si="17"/>
        <v/>
      </c>
      <c r="F261" s="424" t="str">
        <f t="shared" si="20"/>
        <v/>
      </c>
      <c r="G261" s="424" t="str">
        <f t="shared" si="18"/>
        <v/>
      </c>
    </row>
    <row r="262" spans="3:7" ht="15" customHeight="1" x14ac:dyDescent="0.3">
      <c r="C262" s="420" t="str">
        <f t="shared" si="16"/>
        <v/>
      </c>
      <c r="D262" s="424" t="str">
        <f t="shared" si="19"/>
        <v/>
      </c>
      <c r="E262" s="424" t="str">
        <f t="shared" si="17"/>
        <v/>
      </c>
      <c r="F262" s="424" t="str">
        <f t="shared" si="20"/>
        <v/>
      </c>
      <c r="G262" s="424" t="str">
        <f t="shared" si="18"/>
        <v/>
      </c>
    </row>
    <row r="263" spans="3:7" ht="15" customHeight="1" x14ac:dyDescent="0.3">
      <c r="C263" s="420" t="str">
        <f t="shared" si="16"/>
        <v/>
      </c>
      <c r="D263" s="424" t="str">
        <f t="shared" si="19"/>
        <v/>
      </c>
      <c r="E263" s="424" t="str">
        <f t="shared" si="17"/>
        <v/>
      </c>
      <c r="F263" s="424" t="str">
        <f t="shared" si="20"/>
        <v/>
      </c>
      <c r="G263" s="424" t="str">
        <f t="shared" si="18"/>
        <v/>
      </c>
    </row>
    <row r="264" spans="3:7" ht="15" customHeight="1" x14ac:dyDescent="0.3">
      <c r="C264" s="420" t="str">
        <f t="shared" si="16"/>
        <v/>
      </c>
      <c r="D264" s="424" t="str">
        <f t="shared" si="19"/>
        <v/>
      </c>
      <c r="E264" s="424" t="str">
        <f t="shared" si="17"/>
        <v/>
      </c>
      <c r="F264" s="424" t="str">
        <f t="shared" si="20"/>
        <v/>
      </c>
      <c r="G264" s="424" t="str">
        <f t="shared" si="18"/>
        <v/>
      </c>
    </row>
    <row r="265" spans="3:7" ht="15" customHeight="1" x14ac:dyDescent="0.3">
      <c r="C265" s="420" t="str">
        <f t="shared" si="16"/>
        <v/>
      </c>
      <c r="D265" s="424" t="str">
        <f t="shared" si="19"/>
        <v/>
      </c>
      <c r="E265" s="424" t="str">
        <f t="shared" si="17"/>
        <v/>
      </c>
      <c r="F265" s="424" t="str">
        <f t="shared" si="20"/>
        <v/>
      </c>
      <c r="G265" s="424" t="str">
        <f t="shared" si="18"/>
        <v/>
      </c>
    </row>
    <row r="266" spans="3:7" ht="15" customHeight="1" x14ac:dyDescent="0.3">
      <c r="C266" s="420" t="str">
        <f t="shared" si="16"/>
        <v/>
      </c>
      <c r="D266" s="424" t="str">
        <f t="shared" si="19"/>
        <v/>
      </c>
      <c r="E266" s="424" t="str">
        <f t="shared" si="17"/>
        <v/>
      </c>
      <c r="F266" s="424" t="str">
        <f t="shared" si="20"/>
        <v/>
      </c>
      <c r="G266" s="424" t="str">
        <f t="shared" si="18"/>
        <v/>
      </c>
    </row>
    <row r="267" spans="3:7" ht="15" customHeight="1" x14ac:dyDescent="0.3">
      <c r="C267" s="420" t="str">
        <f t="shared" si="16"/>
        <v/>
      </c>
      <c r="D267" s="424" t="str">
        <f t="shared" si="19"/>
        <v/>
      </c>
      <c r="E267" s="424" t="str">
        <f t="shared" si="17"/>
        <v/>
      </c>
      <c r="F267" s="424" t="str">
        <f t="shared" si="20"/>
        <v/>
      </c>
      <c r="G267" s="424" t="str">
        <f t="shared" si="18"/>
        <v/>
      </c>
    </row>
    <row r="268" spans="3:7" ht="15" customHeight="1" x14ac:dyDescent="0.3">
      <c r="C268" s="420" t="str">
        <f t="shared" si="16"/>
        <v/>
      </c>
      <c r="D268" s="424" t="str">
        <f t="shared" si="19"/>
        <v/>
      </c>
      <c r="E268" s="424" t="str">
        <f t="shared" si="17"/>
        <v/>
      </c>
      <c r="F268" s="424" t="str">
        <f t="shared" si="20"/>
        <v/>
      </c>
      <c r="G268" s="424" t="str">
        <f t="shared" si="18"/>
        <v/>
      </c>
    </row>
    <row r="269" spans="3:7" ht="15" customHeight="1" x14ac:dyDescent="0.3">
      <c r="C269" s="420" t="str">
        <f t="shared" ref="C269:C332" si="21">IF(OR(C268=$D$8,C268=""),"",IF(ISNUMBER(C268),C268+1,1))</f>
        <v/>
      </c>
      <c r="D269" s="424" t="str">
        <f t="shared" si="19"/>
        <v/>
      </c>
      <c r="E269" s="424" t="str">
        <f t="shared" ref="E269:E332" si="22">IF(C269&gt;$D$8,"",$D$6*G268)</f>
        <v/>
      </c>
      <c r="F269" s="424" t="str">
        <f t="shared" si="20"/>
        <v/>
      </c>
      <c r="G269" s="424" t="str">
        <f t="shared" ref="G269:G332" si="23">IF(C269&gt;$D$8,"",G268-F269)</f>
        <v/>
      </c>
    </row>
    <row r="270" spans="3:7" ht="15" customHeight="1" x14ac:dyDescent="0.3">
      <c r="C270" s="420" t="str">
        <f t="shared" si="21"/>
        <v/>
      </c>
      <c r="D270" s="424" t="str">
        <f t="shared" si="19"/>
        <v/>
      </c>
      <c r="E270" s="424" t="str">
        <f t="shared" si="22"/>
        <v/>
      </c>
      <c r="F270" s="424" t="str">
        <f t="shared" si="20"/>
        <v/>
      </c>
      <c r="G270" s="424" t="str">
        <f t="shared" si="23"/>
        <v/>
      </c>
    </row>
    <row r="271" spans="3:7" ht="15" customHeight="1" x14ac:dyDescent="0.3">
      <c r="C271" s="420" t="str">
        <f t="shared" si="21"/>
        <v/>
      </c>
      <c r="D271" s="424" t="str">
        <f t="shared" si="19"/>
        <v/>
      </c>
      <c r="E271" s="424" t="str">
        <f t="shared" si="22"/>
        <v/>
      </c>
      <c r="F271" s="424" t="str">
        <f t="shared" si="20"/>
        <v/>
      </c>
      <c r="G271" s="424" t="str">
        <f t="shared" si="23"/>
        <v/>
      </c>
    </row>
    <row r="272" spans="3:7" ht="15" customHeight="1" x14ac:dyDescent="0.3">
      <c r="C272" s="420" t="str">
        <f t="shared" si="21"/>
        <v/>
      </c>
      <c r="D272" s="424" t="str">
        <f t="shared" si="19"/>
        <v/>
      </c>
      <c r="E272" s="424" t="str">
        <f t="shared" si="22"/>
        <v/>
      </c>
      <c r="F272" s="424" t="str">
        <f t="shared" si="20"/>
        <v/>
      </c>
      <c r="G272" s="424" t="str">
        <f t="shared" si="23"/>
        <v/>
      </c>
    </row>
    <row r="273" spans="3:7" ht="15" customHeight="1" x14ac:dyDescent="0.3">
      <c r="C273" s="420" t="str">
        <f t="shared" si="21"/>
        <v/>
      </c>
      <c r="D273" s="424" t="str">
        <f t="shared" si="19"/>
        <v/>
      </c>
      <c r="E273" s="424" t="str">
        <f t="shared" si="22"/>
        <v/>
      </c>
      <c r="F273" s="424" t="str">
        <f t="shared" si="20"/>
        <v/>
      </c>
      <c r="G273" s="424" t="str">
        <f t="shared" si="23"/>
        <v/>
      </c>
    </row>
    <row r="274" spans="3:7" ht="15" customHeight="1" x14ac:dyDescent="0.3">
      <c r="C274" s="420" t="str">
        <f t="shared" si="21"/>
        <v/>
      </c>
      <c r="D274" s="424" t="str">
        <f t="shared" si="19"/>
        <v/>
      </c>
      <c r="E274" s="424" t="str">
        <f t="shared" si="22"/>
        <v/>
      </c>
      <c r="F274" s="424" t="str">
        <f t="shared" si="20"/>
        <v/>
      </c>
      <c r="G274" s="424" t="str">
        <f t="shared" si="23"/>
        <v/>
      </c>
    </row>
    <row r="275" spans="3:7" ht="15" customHeight="1" x14ac:dyDescent="0.3">
      <c r="C275" s="420" t="str">
        <f t="shared" si="21"/>
        <v/>
      </c>
      <c r="D275" s="424" t="str">
        <f t="shared" si="19"/>
        <v/>
      </c>
      <c r="E275" s="424" t="str">
        <f t="shared" si="22"/>
        <v/>
      </c>
      <c r="F275" s="424" t="str">
        <f t="shared" si="20"/>
        <v/>
      </c>
      <c r="G275" s="424" t="str">
        <f t="shared" si="23"/>
        <v/>
      </c>
    </row>
    <row r="276" spans="3:7" ht="15" customHeight="1" x14ac:dyDescent="0.3">
      <c r="C276" s="420" t="str">
        <f t="shared" si="21"/>
        <v/>
      </c>
      <c r="D276" s="424" t="str">
        <f t="shared" si="19"/>
        <v/>
      </c>
      <c r="E276" s="424" t="str">
        <f t="shared" si="22"/>
        <v/>
      </c>
      <c r="F276" s="424" t="str">
        <f t="shared" si="20"/>
        <v/>
      </c>
      <c r="G276" s="424" t="str">
        <f t="shared" si="23"/>
        <v/>
      </c>
    </row>
    <row r="277" spans="3:7" ht="15" customHeight="1" x14ac:dyDescent="0.3">
      <c r="C277" s="420" t="str">
        <f t="shared" si="21"/>
        <v/>
      </c>
      <c r="D277" s="424" t="str">
        <f t="shared" si="19"/>
        <v/>
      </c>
      <c r="E277" s="424" t="str">
        <f t="shared" si="22"/>
        <v/>
      </c>
      <c r="F277" s="424" t="str">
        <f t="shared" si="20"/>
        <v/>
      </c>
      <c r="G277" s="424" t="str">
        <f t="shared" si="23"/>
        <v/>
      </c>
    </row>
    <row r="278" spans="3:7" ht="15" customHeight="1" x14ac:dyDescent="0.3">
      <c r="C278" s="420" t="str">
        <f t="shared" si="21"/>
        <v/>
      </c>
      <c r="D278" s="424" t="str">
        <f t="shared" si="19"/>
        <v/>
      </c>
      <c r="E278" s="424" t="str">
        <f t="shared" si="22"/>
        <v/>
      </c>
      <c r="F278" s="424" t="str">
        <f t="shared" si="20"/>
        <v/>
      </c>
      <c r="G278" s="424" t="str">
        <f t="shared" si="23"/>
        <v/>
      </c>
    </row>
    <row r="279" spans="3:7" ht="15" customHeight="1" x14ac:dyDescent="0.3">
      <c r="C279" s="420" t="str">
        <f t="shared" si="21"/>
        <v/>
      </c>
      <c r="D279" s="424" t="str">
        <f t="shared" si="19"/>
        <v/>
      </c>
      <c r="E279" s="424" t="str">
        <f t="shared" si="22"/>
        <v/>
      </c>
      <c r="F279" s="424" t="str">
        <f t="shared" si="20"/>
        <v/>
      </c>
      <c r="G279" s="424" t="str">
        <f t="shared" si="23"/>
        <v/>
      </c>
    </row>
    <row r="280" spans="3:7" ht="15" customHeight="1" x14ac:dyDescent="0.3">
      <c r="C280" s="420" t="str">
        <f t="shared" si="21"/>
        <v/>
      </c>
      <c r="D280" s="424" t="str">
        <f t="shared" si="19"/>
        <v/>
      </c>
      <c r="E280" s="424" t="str">
        <f t="shared" si="22"/>
        <v/>
      </c>
      <c r="F280" s="424" t="str">
        <f t="shared" si="20"/>
        <v/>
      </c>
      <c r="G280" s="424" t="str">
        <f t="shared" si="23"/>
        <v/>
      </c>
    </row>
    <row r="281" spans="3:7" ht="15" customHeight="1" x14ac:dyDescent="0.3">
      <c r="C281" s="420" t="str">
        <f t="shared" si="21"/>
        <v/>
      </c>
      <c r="D281" s="424" t="str">
        <f t="shared" si="19"/>
        <v/>
      </c>
      <c r="E281" s="424" t="str">
        <f t="shared" si="22"/>
        <v/>
      </c>
      <c r="F281" s="424" t="str">
        <f t="shared" si="20"/>
        <v/>
      </c>
      <c r="G281" s="424" t="str">
        <f t="shared" si="23"/>
        <v/>
      </c>
    </row>
    <row r="282" spans="3:7" ht="15" customHeight="1" x14ac:dyDescent="0.3">
      <c r="C282" s="420" t="str">
        <f t="shared" si="21"/>
        <v/>
      </c>
      <c r="D282" s="424" t="str">
        <f t="shared" si="19"/>
        <v/>
      </c>
      <c r="E282" s="424" t="str">
        <f t="shared" si="22"/>
        <v/>
      </c>
      <c r="F282" s="424" t="str">
        <f t="shared" si="20"/>
        <v/>
      </c>
      <c r="G282" s="424" t="str">
        <f t="shared" si="23"/>
        <v/>
      </c>
    </row>
    <row r="283" spans="3:7" ht="15" customHeight="1" x14ac:dyDescent="0.3">
      <c r="C283" s="420" t="str">
        <f t="shared" si="21"/>
        <v/>
      </c>
      <c r="D283" s="424" t="str">
        <f t="shared" si="19"/>
        <v/>
      </c>
      <c r="E283" s="424" t="str">
        <f t="shared" si="22"/>
        <v/>
      </c>
      <c r="F283" s="424" t="str">
        <f t="shared" si="20"/>
        <v/>
      </c>
      <c r="G283" s="424" t="str">
        <f t="shared" si="23"/>
        <v/>
      </c>
    </row>
    <row r="284" spans="3:7" ht="15" customHeight="1" x14ac:dyDescent="0.3">
      <c r="C284" s="420" t="str">
        <f t="shared" si="21"/>
        <v/>
      </c>
      <c r="D284" s="424" t="str">
        <f t="shared" si="19"/>
        <v/>
      </c>
      <c r="E284" s="424" t="str">
        <f t="shared" si="22"/>
        <v/>
      </c>
      <c r="F284" s="424" t="str">
        <f t="shared" si="20"/>
        <v/>
      </c>
      <c r="G284" s="424" t="str">
        <f t="shared" si="23"/>
        <v/>
      </c>
    </row>
    <row r="285" spans="3:7" ht="15" customHeight="1" x14ac:dyDescent="0.3">
      <c r="C285" s="420" t="str">
        <f t="shared" si="21"/>
        <v/>
      </c>
      <c r="D285" s="424" t="str">
        <f t="shared" si="19"/>
        <v/>
      </c>
      <c r="E285" s="424" t="str">
        <f t="shared" si="22"/>
        <v/>
      </c>
      <c r="F285" s="424" t="str">
        <f t="shared" si="20"/>
        <v/>
      </c>
      <c r="G285" s="424" t="str">
        <f t="shared" si="23"/>
        <v/>
      </c>
    </row>
    <row r="286" spans="3:7" ht="15" customHeight="1" x14ac:dyDescent="0.3">
      <c r="C286" s="420" t="str">
        <f t="shared" si="21"/>
        <v/>
      </c>
      <c r="D286" s="424" t="str">
        <f t="shared" si="19"/>
        <v/>
      </c>
      <c r="E286" s="424" t="str">
        <f t="shared" si="22"/>
        <v/>
      </c>
      <c r="F286" s="424" t="str">
        <f t="shared" si="20"/>
        <v/>
      </c>
      <c r="G286" s="424" t="str">
        <f t="shared" si="23"/>
        <v/>
      </c>
    </row>
    <row r="287" spans="3:7" ht="15" customHeight="1" x14ac:dyDescent="0.3">
      <c r="C287" s="420" t="str">
        <f t="shared" si="21"/>
        <v/>
      </c>
      <c r="D287" s="424" t="str">
        <f t="shared" si="19"/>
        <v/>
      </c>
      <c r="E287" s="424" t="str">
        <f t="shared" si="22"/>
        <v/>
      </c>
      <c r="F287" s="424" t="str">
        <f t="shared" si="20"/>
        <v/>
      </c>
      <c r="G287" s="424" t="str">
        <f t="shared" si="23"/>
        <v/>
      </c>
    </row>
    <row r="288" spans="3:7" ht="15" customHeight="1" x14ac:dyDescent="0.3">
      <c r="C288" s="420" t="str">
        <f t="shared" si="21"/>
        <v/>
      </c>
      <c r="D288" s="424" t="str">
        <f t="shared" si="19"/>
        <v/>
      </c>
      <c r="E288" s="424" t="str">
        <f t="shared" si="22"/>
        <v/>
      </c>
      <c r="F288" s="424" t="str">
        <f t="shared" si="20"/>
        <v/>
      </c>
      <c r="G288" s="424" t="str">
        <f t="shared" si="23"/>
        <v/>
      </c>
    </row>
    <row r="289" spans="3:7" ht="15" customHeight="1" x14ac:dyDescent="0.3">
      <c r="C289" s="420" t="str">
        <f t="shared" si="21"/>
        <v/>
      </c>
      <c r="D289" s="424" t="str">
        <f t="shared" ref="D289:D352" si="24">IF(C289&gt;$D$8,"",PMT($D$6,$D$8,$D$2)*-1)</f>
        <v/>
      </c>
      <c r="E289" s="424" t="str">
        <f t="shared" si="22"/>
        <v/>
      </c>
      <c r="F289" s="424" t="str">
        <f t="shared" ref="F289:F352" si="25">IF(C289&gt;$D$8,"",D289-E289)</f>
        <v/>
      </c>
      <c r="G289" s="424" t="str">
        <f t="shared" si="23"/>
        <v/>
      </c>
    </row>
    <row r="290" spans="3:7" ht="15" customHeight="1" x14ac:dyDescent="0.3">
      <c r="C290" s="420" t="str">
        <f t="shared" si="21"/>
        <v/>
      </c>
      <c r="D290" s="424" t="str">
        <f t="shared" si="24"/>
        <v/>
      </c>
      <c r="E290" s="424" t="str">
        <f t="shared" si="22"/>
        <v/>
      </c>
      <c r="F290" s="424" t="str">
        <f t="shared" si="25"/>
        <v/>
      </c>
      <c r="G290" s="424" t="str">
        <f t="shared" si="23"/>
        <v/>
      </c>
    </row>
    <row r="291" spans="3:7" ht="15" customHeight="1" x14ac:dyDescent="0.3">
      <c r="C291" s="420" t="str">
        <f t="shared" si="21"/>
        <v/>
      </c>
      <c r="D291" s="424" t="str">
        <f t="shared" si="24"/>
        <v/>
      </c>
      <c r="E291" s="424" t="str">
        <f t="shared" si="22"/>
        <v/>
      </c>
      <c r="F291" s="424" t="str">
        <f t="shared" si="25"/>
        <v/>
      </c>
      <c r="G291" s="424" t="str">
        <f t="shared" si="23"/>
        <v/>
      </c>
    </row>
    <row r="292" spans="3:7" ht="15" customHeight="1" x14ac:dyDescent="0.3">
      <c r="C292" s="420" t="str">
        <f t="shared" si="21"/>
        <v/>
      </c>
      <c r="D292" s="424" t="str">
        <f t="shared" si="24"/>
        <v/>
      </c>
      <c r="E292" s="424" t="str">
        <f t="shared" si="22"/>
        <v/>
      </c>
      <c r="F292" s="424" t="str">
        <f t="shared" si="25"/>
        <v/>
      </c>
      <c r="G292" s="424" t="str">
        <f t="shared" si="23"/>
        <v/>
      </c>
    </row>
    <row r="293" spans="3:7" ht="15" customHeight="1" x14ac:dyDescent="0.3">
      <c r="C293" s="420" t="str">
        <f t="shared" si="21"/>
        <v/>
      </c>
      <c r="D293" s="424" t="str">
        <f t="shared" si="24"/>
        <v/>
      </c>
      <c r="E293" s="424" t="str">
        <f t="shared" si="22"/>
        <v/>
      </c>
      <c r="F293" s="424" t="str">
        <f t="shared" si="25"/>
        <v/>
      </c>
      <c r="G293" s="424" t="str">
        <f t="shared" si="23"/>
        <v/>
      </c>
    </row>
    <row r="294" spans="3:7" ht="15" customHeight="1" x14ac:dyDescent="0.3">
      <c r="C294" s="420" t="str">
        <f t="shared" si="21"/>
        <v/>
      </c>
      <c r="D294" s="424" t="str">
        <f t="shared" si="24"/>
        <v/>
      </c>
      <c r="E294" s="424" t="str">
        <f t="shared" si="22"/>
        <v/>
      </c>
      <c r="F294" s="424" t="str">
        <f t="shared" si="25"/>
        <v/>
      </c>
      <c r="G294" s="424" t="str">
        <f t="shared" si="23"/>
        <v/>
      </c>
    </row>
    <row r="295" spans="3:7" ht="15" customHeight="1" x14ac:dyDescent="0.3">
      <c r="C295" s="420" t="str">
        <f t="shared" si="21"/>
        <v/>
      </c>
      <c r="D295" s="424" t="str">
        <f t="shared" si="24"/>
        <v/>
      </c>
      <c r="E295" s="424" t="str">
        <f t="shared" si="22"/>
        <v/>
      </c>
      <c r="F295" s="424" t="str">
        <f t="shared" si="25"/>
        <v/>
      </c>
      <c r="G295" s="424" t="str">
        <f t="shared" si="23"/>
        <v/>
      </c>
    </row>
    <row r="296" spans="3:7" ht="15" customHeight="1" x14ac:dyDescent="0.3">
      <c r="C296" s="420" t="str">
        <f t="shared" si="21"/>
        <v/>
      </c>
      <c r="D296" s="424" t="str">
        <f t="shared" si="24"/>
        <v/>
      </c>
      <c r="E296" s="424" t="str">
        <f t="shared" si="22"/>
        <v/>
      </c>
      <c r="F296" s="424" t="str">
        <f t="shared" si="25"/>
        <v/>
      </c>
      <c r="G296" s="424" t="str">
        <f t="shared" si="23"/>
        <v/>
      </c>
    </row>
    <row r="297" spans="3:7" ht="15" customHeight="1" x14ac:dyDescent="0.3">
      <c r="C297" s="420" t="str">
        <f t="shared" si="21"/>
        <v/>
      </c>
      <c r="D297" s="424" t="str">
        <f t="shared" si="24"/>
        <v/>
      </c>
      <c r="E297" s="424" t="str">
        <f t="shared" si="22"/>
        <v/>
      </c>
      <c r="F297" s="424" t="str">
        <f t="shared" si="25"/>
        <v/>
      </c>
      <c r="G297" s="424" t="str">
        <f t="shared" si="23"/>
        <v/>
      </c>
    </row>
    <row r="298" spans="3:7" ht="15" customHeight="1" x14ac:dyDescent="0.3">
      <c r="C298" s="420" t="str">
        <f t="shared" si="21"/>
        <v/>
      </c>
      <c r="D298" s="424" t="str">
        <f t="shared" si="24"/>
        <v/>
      </c>
      <c r="E298" s="424" t="str">
        <f t="shared" si="22"/>
        <v/>
      </c>
      <c r="F298" s="424" t="str">
        <f t="shared" si="25"/>
        <v/>
      </c>
      <c r="G298" s="424" t="str">
        <f t="shared" si="23"/>
        <v/>
      </c>
    </row>
    <row r="299" spans="3:7" ht="15" customHeight="1" x14ac:dyDescent="0.3">
      <c r="C299" s="420" t="str">
        <f t="shared" si="21"/>
        <v/>
      </c>
      <c r="D299" s="424" t="str">
        <f t="shared" si="24"/>
        <v/>
      </c>
      <c r="E299" s="424" t="str">
        <f t="shared" si="22"/>
        <v/>
      </c>
      <c r="F299" s="424" t="str">
        <f t="shared" si="25"/>
        <v/>
      </c>
      <c r="G299" s="424" t="str">
        <f t="shared" si="23"/>
        <v/>
      </c>
    </row>
    <row r="300" spans="3:7" ht="15" customHeight="1" x14ac:dyDescent="0.3">
      <c r="C300" s="420" t="str">
        <f t="shared" si="21"/>
        <v/>
      </c>
      <c r="D300" s="424" t="str">
        <f t="shared" si="24"/>
        <v/>
      </c>
      <c r="E300" s="424" t="str">
        <f t="shared" si="22"/>
        <v/>
      </c>
      <c r="F300" s="424" t="str">
        <f t="shared" si="25"/>
        <v/>
      </c>
      <c r="G300" s="424" t="str">
        <f t="shared" si="23"/>
        <v/>
      </c>
    </row>
    <row r="301" spans="3:7" ht="15" customHeight="1" x14ac:dyDescent="0.3">
      <c r="C301" s="420" t="str">
        <f t="shared" si="21"/>
        <v/>
      </c>
      <c r="D301" s="424" t="str">
        <f t="shared" si="24"/>
        <v/>
      </c>
      <c r="E301" s="424" t="str">
        <f t="shared" si="22"/>
        <v/>
      </c>
      <c r="F301" s="424" t="str">
        <f t="shared" si="25"/>
        <v/>
      </c>
      <c r="G301" s="424" t="str">
        <f t="shared" si="23"/>
        <v/>
      </c>
    </row>
    <row r="302" spans="3:7" ht="15" customHeight="1" x14ac:dyDescent="0.3">
      <c r="C302" s="420" t="str">
        <f t="shared" si="21"/>
        <v/>
      </c>
      <c r="D302" s="424" t="str">
        <f t="shared" si="24"/>
        <v/>
      </c>
      <c r="E302" s="424" t="str">
        <f t="shared" si="22"/>
        <v/>
      </c>
      <c r="F302" s="424" t="str">
        <f t="shared" si="25"/>
        <v/>
      </c>
      <c r="G302" s="424" t="str">
        <f t="shared" si="23"/>
        <v/>
      </c>
    </row>
    <row r="303" spans="3:7" ht="15" customHeight="1" x14ac:dyDescent="0.3">
      <c r="C303" s="420" t="str">
        <f t="shared" si="21"/>
        <v/>
      </c>
      <c r="D303" s="424" t="str">
        <f t="shared" si="24"/>
        <v/>
      </c>
      <c r="E303" s="424" t="str">
        <f t="shared" si="22"/>
        <v/>
      </c>
      <c r="F303" s="424" t="str">
        <f t="shared" si="25"/>
        <v/>
      </c>
      <c r="G303" s="424" t="str">
        <f t="shared" si="23"/>
        <v/>
      </c>
    </row>
    <row r="304" spans="3:7" ht="15" customHeight="1" x14ac:dyDescent="0.3">
      <c r="C304" s="420" t="str">
        <f t="shared" si="21"/>
        <v/>
      </c>
      <c r="D304" s="424" t="str">
        <f t="shared" si="24"/>
        <v/>
      </c>
      <c r="E304" s="424" t="str">
        <f t="shared" si="22"/>
        <v/>
      </c>
      <c r="F304" s="424" t="str">
        <f t="shared" si="25"/>
        <v/>
      </c>
      <c r="G304" s="424" t="str">
        <f t="shared" si="23"/>
        <v/>
      </c>
    </row>
    <row r="305" spans="3:7" ht="15" customHeight="1" x14ac:dyDescent="0.3">
      <c r="C305" s="420" t="str">
        <f t="shared" si="21"/>
        <v/>
      </c>
      <c r="D305" s="424" t="str">
        <f t="shared" si="24"/>
        <v/>
      </c>
      <c r="E305" s="424" t="str">
        <f t="shared" si="22"/>
        <v/>
      </c>
      <c r="F305" s="424" t="str">
        <f t="shared" si="25"/>
        <v/>
      </c>
      <c r="G305" s="424" t="str">
        <f t="shared" si="23"/>
        <v/>
      </c>
    </row>
    <row r="306" spans="3:7" ht="15" customHeight="1" x14ac:dyDescent="0.3">
      <c r="C306" s="420" t="str">
        <f t="shared" si="21"/>
        <v/>
      </c>
      <c r="D306" s="424" t="str">
        <f t="shared" si="24"/>
        <v/>
      </c>
      <c r="E306" s="424" t="str">
        <f t="shared" si="22"/>
        <v/>
      </c>
      <c r="F306" s="424" t="str">
        <f t="shared" si="25"/>
        <v/>
      </c>
      <c r="G306" s="424" t="str">
        <f t="shared" si="23"/>
        <v/>
      </c>
    </row>
    <row r="307" spans="3:7" ht="15" customHeight="1" x14ac:dyDescent="0.3">
      <c r="C307" s="420" t="str">
        <f t="shared" si="21"/>
        <v/>
      </c>
      <c r="D307" s="424" t="str">
        <f t="shared" si="24"/>
        <v/>
      </c>
      <c r="E307" s="424" t="str">
        <f t="shared" si="22"/>
        <v/>
      </c>
      <c r="F307" s="424" t="str">
        <f t="shared" si="25"/>
        <v/>
      </c>
      <c r="G307" s="424" t="str">
        <f t="shared" si="23"/>
        <v/>
      </c>
    </row>
    <row r="308" spans="3:7" ht="15" customHeight="1" x14ac:dyDescent="0.3">
      <c r="C308" s="420" t="str">
        <f t="shared" si="21"/>
        <v/>
      </c>
      <c r="D308" s="424" t="str">
        <f t="shared" si="24"/>
        <v/>
      </c>
      <c r="E308" s="424" t="str">
        <f t="shared" si="22"/>
        <v/>
      </c>
      <c r="F308" s="424" t="str">
        <f t="shared" si="25"/>
        <v/>
      </c>
      <c r="G308" s="424" t="str">
        <f t="shared" si="23"/>
        <v/>
      </c>
    </row>
    <row r="309" spans="3:7" ht="15" customHeight="1" x14ac:dyDescent="0.3">
      <c r="C309" s="420" t="str">
        <f t="shared" si="21"/>
        <v/>
      </c>
      <c r="D309" s="424" t="str">
        <f t="shared" si="24"/>
        <v/>
      </c>
      <c r="E309" s="424" t="str">
        <f t="shared" si="22"/>
        <v/>
      </c>
      <c r="F309" s="424" t="str">
        <f t="shared" si="25"/>
        <v/>
      </c>
      <c r="G309" s="424" t="str">
        <f t="shared" si="23"/>
        <v/>
      </c>
    </row>
    <row r="310" spans="3:7" ht="15" customHeight="1" x14ac:dyDescent="0.3">
      <c r="C310" s="420" t="str">
        <f t="shared" si="21"/>
        <v/>
      </c>
      <c r="D310" s="424" t="str">
        <f t="shared" si="24"/>
        <v/>
      </c>
      <c r="E310" s="424" t="str">
        <f t="shared" si="22"/>
        <v/>
      </c>
      <c r="F310" s="424" t="str">
        <f t="shared" si="25"/>
        <v/>
      </c>
      <c r="G310" s="424" t="str">
        <f t="shared" si="23"/>
        <v/>
      </c>
    </row>
    <row r="311" spans="3:7" ht="15" customHeight="1" x14ac:dyDescent="0.3">
      <c r="C311" s="420" t="str">
        <f t="shared" si="21"/>
        <v/>
      </c>
      <c r="D311" s="424" t="str">
        <f t="shared" si="24"/>
        <v/>
      </c>
      <c r="E311" s="424" t="str">
        <f t="shared" si="22"/>
        <v/>
      </c>
      <c r="F311" s="424" t="str">
        <f t="shared" si="25"/>
        <v/>
      </c>
      <c r="G311" s="424" t="str">
        <f t="shared" si="23"/>
        <v/>
      </c>
    </row>
    <row r="312" spans="3:7" ht="15" customHeight="1" x14ac:dyDescent="0.3">
      <c r="C312" s="420" t="str">
        <f t="shared" si="21"/>
        <v/>
      </c>
      <c r="D312" s="424" t="str">
        <f t="shared" si="24"/>
        <v/>
      </c>
      <c r="E312" s="424" t="str">
        <f t="shared" si="22"/>
        <v/>
      </c>
      <c r="F312" s="424" t="str">
        <f t="shared" si="25"/>
        <v/>
      </c>
      <c r="G312" s="424" t="str">
        <f t="shared" si="23"/>
        <v/>
      </c>
    </row>
    <row r="313" spans="3:7" ht="15" customHeight="1" x14ac:dyDescent="0.3">
      <c r="C313" s="420" t="str">
        <f t="shared" si="21"/>
        <v/>
      </c>
      <c r="D313" s="424" t="str">
        <f t="shared" si="24"/>
        <v/>
      </c>
      <c r="E313" s="424" t="str">
        <f t="shared" si="22"/>
        <v/>
      </c>
      <c r="F313" s="424" t="str">
        <f t="shared" si="25"/>
        <v/>
      </c>
      <c r="G313" s="424" t="str">
        <f t="shared" si="23"/>
        <v/>
      </c>
    </row>
    <row r="314" spans="3:7" ht="15" customHeight="1" x14ac:dyDescent="0.3">
      <c r="C314" s="420" t="str">
        <f t="shared" si="21"/>
        <v/>
      </c>
      <c r="D314" s="424" t="str">
        <f t="shared" si="24"/>
        <v/>
      </c>
      <c r="E314" s="424" t="str">
        <f t="shared" si="22"/>
        <v/>
      </c>
      <c r="F314" s="424" t="str">
        <f t="shared" si="25"/>
        <v/>
      </c>
      <c r="G314" s="424" t="str">
        <f t="shared" si="23"/>
        <v/>
      </c>
    </row>
    <row r="315" spans="3:7" ht="15" customHeight="1" x14ac:dyDescent="0.3">
      <c r="C315" s="420" t="str">
        <f t="shared" si="21"/>
        <v/>
      </c>
      <c r="D315" s="424" t="str">
        <f t="shared" si="24"/>
        <v/>
      </c>
      <c r="E315" s="424" t="str">
        <f t="shared" si="22"/>
        <v/>
      </c>
      <c r="F315" s="424" t="str">
        <f t="shared" si="25"/>
        <v/>
      </c>
      <c r="G315" s="424" t="str">
        <f t="shared" si="23"/>
        <v/>
      </c>
    </row>
    <row r="316" spans="3:7" ht="15" customHeight="1" x14ac:dyDescent="0.3">
      <c r="C316" s="420" t="str">
        <f t="shared" si="21"/>
        <v/>
      </c>
      <c r="D316" s="424" t="str">
        <f t="shared" si="24"/>
        <v/>
      </c>
      <c r="E316" s="424" t="str">
        <f t="shared" si="22"/>
        <v/>
      </c>
      <c r="F316" s="424" t="str">
        <f t="shared" si="25"/>
        <v/>
      </c>
      <c r="G316" s="424" t="str">
        <f t="shared" si="23"/>
        <v/>
      </c>
    </row>
    <row r="317" spans="3:7" ht="15" customHeight="1" x14ac:dyDescent="0.3">
      <c r="C317" s="420" t="str">
        <f t="shared" si="21"/>
        <v/>
      </c>
      <c r="D317" s="424" t="str">
        <f t="shared" si="24"/>
        <v/>
      </c>
      <c r="E317" s="424" t="str">
        <f t="shared" si="22"/>
        <v/>
      </c>
      <c r="F317" s="424" t="str">
        <f t="shared" si="25"/>
        <v/>
      </c>
      <c r="G317" s="424" t="str">
        <f t="shared" si="23"/>
        <v/>
      </c>
    </row>
    <row r="318" spans="3:7" ht="15" customHeight="1" x14ac:dyDescent="0.3">
      <c r="C318" s="420" t="str">
        <f t="shared" si="21"/>
        <v/>
      </c>
      <c r="D318" s="424" t="str">
        <f t="shared" si="24"/>
        <v/>
      </c>
      <c r="E318" s="424" t="str">
        <f t="shared" si="22"/>
        <v/>
      </c>
      <c r="F318" s="424" t="str">
        <f t="shared" si="25"/>
        <v/>
      </c>
      <c r="G318" s="424" t="str">
        <f t="shared" si="23"/>
        <v/>
      </c>
    </row>
    <row r="319" spans="3:7" ht="15" customHeight="1" x14ac:dyDescent="0.3">
      <c r="C319" s="420" t="str">
        <f t="shared" si="21"/>
        <v/>
      </c>
      <c r="D319" s="424" t="str">
        <f t="shared" si="24"/>
        <v/>
      </c>
      <c r="E319" s="424" t="str">
        <f t="shared" si="22"/>
        <v/>
      </c>
      <c r="F319" s="424" t="str">
        <f t="shared" si="25"/>
        <v/>
      </c>
      <c r="G319" s="424" t="str">
        <f t="shared" si="23"/>
        <v/>
      </c>
    </row>
    <row r="320" spans="3:7" ht="15" customHeight="1" x14ac:dyDescent="0.3">
      <c r="C320" s="420" t="str">
        <f t="shared" si="21"/>
        <v/>
      </c>
      <c r="D320" s="424" t="str">
        <f t="shared" si="24"/>
        <v/>
      </c>
      <c r="E320" s="424" t="str">
        <f t="shared" si="22"/>
        <v/>
      </c>
      <c r="F320" s="424" t="str">
        <f t="shared" si="25"/>
        <v/>
      </c>
      <c r="G320" s="424" t="str">
        <f t="shared" si="23"/>
        <v/>
      </c>
    </row>
    <row r="321" spans="3:7" ht="15" customHeight="1" x14ac:dyDescent="0.3">
      <c r="C321" s="420" t="str">
        <f t="shared" si="21"/>
        <v/>
      </c>
      <c r="D321" s="424" t="str">
        <f t="shared" si="24"/>
        <v/>
      </c>
      <c r="E321" s="424" t="str">
        <f t="shared" si="22"/>
        <v/>
      </c>
      <c r="F321" s="424" t="str">
        <f t="shared" si="25"/>
        <v/>
      </c>
      <c r="G321" s="424" t="str">
        <f t="shared" si="23"/>
        <v/>
      </c>
    </row>
    <row r="322" spans="3:7" ht="15" customHeight="1" x14ac:dyDescent="0.3">
      <c r="C322" s="420" t="str">
        <f t="shared" si="21"/>
        <v/>
      </c>
      <c r="D322" s="424" t="str">
        <f t="shared" si="24"/>
        <v/>
      </c>
      <c r="E322" s="424" t="str">
        <f t="shared" si="22"/>
        <v/>
      </c>
      <c r="F322" s="424" t="str">
        <f t="shared" si="25"/>
        <v/>
      </c>
      <c r="G322" s="424" t="str">
        <f t="shared" si="23"/>
        <v/>
      </c>
    </row>
    <row r="323" spans="3:7" ht="15" customHeight="1" x14ac:dyDescent="0.3">
      <c r="C323" s="420" t="str">
        <f t="shared" si="21"/>
        <v/>
      </c>
      <c r="D323" s="424" t="str">
        <f t="shared" si="24"/>
        <v/>
      </c>
      <c r="E323" s="424" t="str">
        <f t="shared" si="22"/>
        <v/>
      </c>
      <c r="F323" s="424" t="str">
        <f t="shared" si="25"/>
        <v/>
      </c>
      <c r="G323" s="424" t="str">
        <f t="shared" si="23"/>
        <v/>
      </c>
    </row>
    <row r="324" spans="3:7" ht="15" customHeight="1" x14ac:dyDescent="0.3">
      <c r="C324" s="420" t="str">
        <f t="shared" si="21"/>
        <v/>
      </c>
      <c r="D324" s="424" t="str">
        <f t="shared" si="24"/>
        <v/>
      </c>
      <c r="E324" s="424" t="str">
        <f t="shared" si="22"/>
        <v/>
      </c>
      <c r="F324" s="424" t="str">
        <f t="shared" si="25"/>
        <v/>
      </c>
      <c r="G324" s="424" t="str">
        <f t="shared" si="23"/>
        <v/>
      </c>
    </row>
    <row r="325" spans="3:7" ht="15" customHeight="1" x14ac:dyDescent="0.3">
      <c r="C325" s="420" t="str">
        <f t="shared" si="21"/>
        <v/>
      </c>
      <c r="D325" s="424" t="str">
        <f t="shared" si="24"/>
        <v/>
      </c>
      <c r="E325" s="424" t="str">
        <f t="shared" si="22"/>
        <v/>
      </c>
      <c r="F325" s="424" t="str">
        <f t="shared" si="25"/>
        <v/>
      </c>
      <c r="G325" s="424" t="str">
        <f t="shared" si="23"/>
        <v/>
      </c>
    </row>
    <row r="326" spans="3:7" ht="15" customHeight="1" x14ac:dyDescent="0.3">
      <c r="C326" s="420" t="str">
        <f t="shared" si="21"/>
        <v/>
      </c>
      <c r="D326" s="424" t="str">
        <f t="shared" si="24"/>
        <v/>
      </c>
      <c r="E326" s="424" t="str">
        <f t="shared" si="22"/>
        <v/>
      </c>
      <c r="F326" s="424" t="str">
        <f t="shared" si="25"/>
        <v/>
      </c>
      <c r="G326" s="424" t="str">
        <f t="shared" si="23"/>
        <v/>
      </c>
    </row>
    <row r="327" spans="3:7" ht="15" customHeight="1" x14ac:dyDescent="0.3">
      <c r="C327" s="420" t="str">
        <f t="shared" si="21"/>
        <v/>
      </c>
      <c r="D327" s="424" t="str">
        <f t="shared" si="24"/>
        <v/>
      </c>
      <c r="E327" s="424" t="str">
        <f t="shared" si="22"/>
        <v/>
      </c>
      <c r="F327" s="424" t="str">
        <f t="shared" si="25"/>
        <v/>
      </c>
      <c r="G327" s="424" t="str">
        <f t="shared" si="23"/>
        <v/>
      </c>
    </row>
    <row r="328" spans="3:7" ht="15" customHeight="1" x14ac:dyDescent="0.3">
      <c r="C328" s="420" t="str">
        <f t="shared" si="21"/>
        <v/>
      </c>
      <c r="D328" s="424" t="str">
        <f t="shared" si="24"/>
        <v/>
      </c>
      <c r="E328" s="424" t="str">
        <f t="shared" si="22"/>
        <v/>
      </c>
      <c r="F328" s="424" t="str">
        <f t="shared" si="25"/>
        <v/>
      </c>
      <c r="G328" s="424" t="str">
        <f t="shared" si="23"/>
        <v/>
      </c>
    </row>
    <row r="329" spans="3:7" ht="15" customHeight="1" x14ac:dyDescent="0.3">
      <c r="C329" s="420" t="str">
        <f t="shared" si="21"/>
        <v/>
      </c>
      <c r="D329" s="424" t="str">
        <f t="shared" si="24"/>
        <v/>
      </c>
      <c r="E329" s="424" t="str">
        <f t="shared" si="22"/>
        <v/>
      </c>
      <c r="F329" s="424" t="str">
        <f t="shared" si="25"/>
        <v/>
      </c>
      <c r="G329" s="424" t="str">
        <f t="shared" si="23"/>
        <v/>
      </c>
    </row>
    <row r="330" spans="3:7" ht="15" customHeight="1" x14ac:dyDescent="0.3">
      <c r="C330" s="420" t="str">
        <f t="shared" si="21"/>
        <v/>
      </c>
      <c r="D330" s="424" t="str">
        <f t="shared" si="24"/>
        <v/>
      </c>
      <c r="E330" s="424" t="str">
        <f t="shared" si="22"/>
        <v/>
      </c>
      <c r="F330" s="424" t="str">
        <f t="shared" si="25"/>
        <v/>
      </c>
      <c r="G330" s="424" t="str">
        <f t="shared" si="23"/>
        <v/>
      </c>
    </row>
    <row r="331" spans="3:7" ht="15" customHeight="1" x14ac:dyDescent="0.3">
      <c r="C331" s="420" t="str">
        <f t="shared" si="21"/>
        <v/>
      </c>
      <c r="D331" s="424" t="str">
        <f t="shared" si="24"/>
        <v/>
      </c>
      <c r="E331" s="424" t="str">
        <f t="shared" si="22"/>
        <v/>
      </c>
      <c r="F331" s="424" t="str">
        <f t="shared" si="25"/>
        <v/>
      </c>
      <c r="G331" s="424" t="str">
        <f t="shared" si="23"/>
        <v/>
      </c>
    </row>
    <row r="332" spans="3:7" ht="15" customHeight="1" x14ac:dyDescent="0.3">
      <c r="C332" s="420" t="str">
        <f t="shared" si="21"/>
        <v/>
      </c>
      <c r="D332" s="424" t="str">
        <f t="shared" si="24"/>
        <v/>
      </c>
      <c r="E332" s="424" t="str">
        <f t="shared" si="22"/>
        <v/>
      </c>
      <c r="F332" s="424" t="str">
        <f t="shared" si="25"/>
        <v/>
      </c>
      <c r="G332" s="424" t="str">
        <f t="shared" si="23"/>
        <v/>
      </c>
    </row>
    <row r="333" spans="3:7" ht="15" customHeight="1" x14ac:dyDescent="0.3">
      <c r="C333" s="420" t="str">
        <f t="shared" ref="C333:C399" si="26">IF(OR(C332=$D$8,C332=""),"",IF(ISNUMBER(C332),C332+1,1))</f>
        <v/>
      </c>
      <c r="D333" s="424" t="str">
        <f t="shared" si="24"/>
        <v/>
      </c>
      <c r="E333" s="424" t="str">
        <f t="shared" ref="E333:E399" si="27">IF(C333&gt;$D$8,"",$D$6*G332)</f>
        <v/>
      </c>
      <c r="F333" s="424" t="str">
        <f t="shared" si="25"/>
        <v/>
      </c>
      <c r="G333" s="424" t="str">
        <f t="shared" ref="G333:G396" si="28">IF(C333&gt;$D$8,"",G332-F333)</f>
        <v/>
      </c>
    </row>
    <row r="334" spans="3:7" ht="15" customHeight="1" x14ac:dyDescent="0.3">
      <c r="C334" s="420" t="str">
        <f t="shared" si="26"/>
        <v/>
      </c>
      <c r="D334" s="424" t="str">
        <f t="shared" si="24"/>
        <v/>
      </c>
      <c r="E334" s="424" t="str">
        <f t="shared" si="27"/>
        <v/>
      </c>
      <c r="F334" s="424" t="str">
        <f t="shared" si="25"/>
        <v/>
      </c>
      <c r="G334" s="424" t="str">
        <f t="shared" si="28"/>
        <v/>
      </c>
    </row>
    <row r="335" spans="3:7" ht="15" customHeight="1" x14ac:dyDescent="0.3">
      <c r="C335" s="420" t="str">
        <f t="shared" si="26"/>
        <v/>
      </c>
      <c r="D335" s="424" t="str">
        <f t="shared" si="24"/>
        <v/>
      </c>
      <c r="E335" s="424" t="str">
        <f t="shared" si="27"/>
        <v/>
      </c>
      <c r="F335" s="424" t="str">
        <f t="shared" si="25"/>
        <v/>
      </c>
      <c r="G335" s="424" t="str">
        <f t="shared" si="28"/>
        <v/>
      </c>
    </row>
    <row r="336" spans="3:7" ht="15" customHeight="1" x14ac:dyDescent="0.3">
      <c r="C336" s="420" t="str">
        <f t="shared" si="26"/>
        <v/>
      </c>
      <c r="D336" s="424" t="str">
        <f t="shared" si="24"/>
        <v/>
      </c>
      <c r="E336" s="424" t="str">
        <f t="shared" si="27"/>
        <v/>
      </c>
      <c r="F336" s="424" t="str">
        <f t="shared" si="25"/>
        <v/>
      </c>
      <c r="G336" s="424" t="str">
        <f t="shared" si="28"/>
        <v/>
      </c>
    </row>
    <row r="337" spans="3:7" ht="15" customHeight="1" x14ac:dyDescent="0.3">
      <c r="C337" s="420" t="str">
        <f t="shared" si="26"/>
        <v/>
      </c>
      <c r="D337" s="424" t="str">
        <f t="shared" si="24"/>
        <v/>
      </c>
      <c r="E337" s="424" t="str">
        <f t="shared" si="27"/>
        <v/>
      </c>
      <c r="F337" s="424" t="str">
        <f t="shared" si="25"/>
        <v/>
      </c>
      <c r="G337" s="424" t="str">
        <f t="shared" si="28"/>
        <v/>
      </c>
    </row>
    <row r="338" spans="3:7" ht="15" customHeight="1" x14ac:dyDescent="0.3">
      <c r="C338" s="420" t="str">
        <f t="shared" si="26"/>
        <v/>
      </c>
      <c r="D338" s="424" t="str">
        <f t="shared" si="24"/>
        <v/>
      </c>
      <c r="E338" s="424" t="str">
        <f t="shared" si="27"/>
        <v/>
      </c>
      <c r="F338" s="424" t="str">
        <f t="shared" si="25"/>
        <v/>
      </c>
      <c r="G338" s="424" t="str">
        <f t="shared" si="28"/>
        <v/>
      </c>
    </row>
    <row r="339" spans="3:7" ht="15" customHeight="1" x14ac:dyDescent="0.3">
      <c r="C339" s="420" t="str">
        <f t="shared" si="26"/>
        <v/>
      </c>
      <c r="D339" s="424" t="str">
        <f t="shared" si="24"/>
        <v/>
      </c>
      <c r="E339" s="424" t="str">
        <f t="shared" si="27"/>
        <v/>
      </c>
      <c r="F339" s="424" t="str">
        <f t="shared" si="25"/>
        <v/>
      </c>
      <c r="G339" s="424" t="str">
        <f t="shared" si="28"/>
        <v/>
      </c>
    </row>
    <row r="340" spans="3:7" ht="15" customHeight="1" x14ac:dyDescent="0.3">
      <c r="C340" s="420" t="str">
        <f t="shared" si="26"/>
        <v/>
      </c>
      <c r="D340" s="424" t="str">
        <f t="shared" si="24"/>
        <v/>
      </c>
      <c r="E340" s="424" t="str">
        <f t="shared" si="27"/>
        <v/>
      </c>
      <c r="F340" s="424" t="str">
        <f t="shared" si="25"/>
        <v/>
      </c>
      <c r="G340" s="424" t="str">
        <f t="shared" si="28"/>
        <v/>
      </c>
    </row>
    <row r="341" spans="3:7" ht="15" customHeight="1" x14ac:dyDescent="0.3">
      <c r="C341" s="420" t="str">
        <f t="shared" si="26"/>
        <v/>
      </c>
      <c r="D341" s="424" t="str">
        <f t="shared" si="24"/>
        <v/>
      </c>
      <c r="E341" s="424" t="str">
        <f t="shared" si="27"/>
        <v/>
      </c>
      <c r="F341" s="424" t="str">
        <f t="shared" si="25"/>
        <v/>
      </c>
      <c r="G341" s="424" t="str">
        <f t="shared" si="28"/>
        <v/>
      </c>
    </row>
    <row r="342" spans="3:7" ht="15" customHeight="1" x14ac:dyDescent="0.3">
      <c r="C342" s="420" t="str">
        <f t="shared" si="26"/>
        <v/>
      </c>
      <c r="D342" s="424" t="str">
        <f t="shared" si="24"/>
        <v/>
      </c>
      <c r="E342" s="424" t="str">
        <f t="shared" si="27"/>
        <v/>
      </c>
      <c r="F342" s="424" t="str">
        <f t="shared" si="25"/>
        <v/>
      </c>
      <c r="G342" s="424" t="str">
        <f t="shared" si="28"/>
        <v/>
      </c>
    </row>
    <row r="343" spans="3:7" ht="15" customHeight="1" x14ac:dyDescent="0.3">
      <c r="C343" s="420" t="str">
        <f t="shared" si="26"/>
        <v/>
      </c>
      <c r="D343" s="424" t="str">
        <f t="shared" si="24"/>
        <v/>
      </c>
      <c r="E343" s="424" t="str">
        <f t="shared" si="27"/>
        <v/>
      </c>
      <c r="F343" s="424" t="str">
        <f t="shared" si="25"/>
        <v/>
      </c>
      <c r="G343" s="424" t="str">
        <f t="shared" si="28"/>
        <v/>
      </c>
    </row>
    <row r="344" spans="3:7" ht="15" customHeight="1" x14ac:dyDescent="0.3">
      <c r="C344" s="420" t="str">
        <f t="shared" si="26"/>
        <v/>
      </c>
      <c r="D344" s="424" t="str">
        <f t="shared" si="24"/>
        <v/>
      </c>
      <c r="E344" s="424" t="str">
        <f t="shared" si="27"/>
        <v/>
      </c>
      <c r="F344" s="424" t="str">
        <f t="shared" si="25"/>
        <v/>
      </c>
      <c r="G344" s="424" t="str">
        <f t="shared" si="28"/>
        <v/>
      </c>
    </row>
    <row r="345" spans="3:7" ht="15" customHeight="1" x14ac:dyDescent="0.3">
      <c r="C345" s="420" t="str">
        <f t="shared" si="26"/>
        <v/>
      </c>
      <c r="D345" s="424" t="str">
        <f t="shared" si="24"/>
        <v/>
      </c>
      <c r="E345" s="424" t="str">
        <f t="shared" si="27"/>
        <v/>
      </c>
      <c r="F345" s="424" t="str">
        <f t="shared" si="25"/>
        <v/>
      </c>
      <c r="G345" s="424" t="str">
        <f t="shared" si="28"/>
        <v/>
      </c>
    </row>
    <row r="346" spans="3:7" ht="15" customHeight="1" x14ac:dyDescent="0.3">
      <c r="C346" s="420" t="str">
        <f t="shared" si="26"/>
        <v/>
      </c>
      <c r="D346" s="424" t="str">
        <f t="shared" si="24"/>
        <v/>
      </c>
      <c r="E346" s="424" t="str">
        <f t="shared" si="27"/>
        <v/>
      </c>
      <c r="F346" s="424" t="str">
        <f t="shared" si="25"/>
        <v/>
      </c>
      <c r="G346" s="424" t="str">
        <f t="shared" si="28"/>
        <v/>
      </c>
    </row>
    <row r="347" spans="3:7" ht="15" customHeight="1" x14ac:dyDescent="0.3">
      <c r="C347" s="420" t="str">
        <f t="shared" si="26"/>
        <v/>
      </c>
      <c r="D347" s="424" t="str">
        <f t="shared" si="24"/>
        <v/>
      </c>
      <c r="E347" s="424" t="str">
        <f t="shared" si="27"/>
        <v/>
      </c>
      <c r="F347" s="424" t="str">
        <f t="shared" si="25"/>
        <v/>
      </c>
      <c r="G347" s="424" t="str">
        <f t="shared" si="28"/>
        <v/>
      </c>
    </row>
    <row r="348" spans="3:7" ht="15" customHeight="1" x14ac:dyDescent="0.3">
      <c r="C348" s="420" t="str">
        <f t="shared" si="26"/>
        <v/>
      </c>
      <c r="D348" s="424" t="str">
        <f t="shared" si="24"/>
        <v/>
      </c>
      <c r="E348" s="424" t="str">
        <f t="shared" si="27"/>
        <v/>
      </c>
      <c r="F348" s="424" t="str">
        <f t="shared" si="25"/>
        <v/>
      </c>
      <c r="G348" s="424" t="str">
        <f t="shared" si="28"/>
        <v/>
      </c>
    </row>
    <row r="349" spans="3:7" ht="15" customHeight="1" x14ac:dyDescent="0.3">
      <c r="C349" s="420" t="str">
        <f t="shared" si="26"/>
        <v/>
      </c>
      <c r="D349" s="424" t="str">
        <f t="shared" si="24"/>
        <v/>
      </c>
      <c r="E349" s="424" t="str">
        <f t="shared" si="27"/>
        <v/>
      </c>
      <c r="F349" s="424" t="str">
        <f t="shared" si="25"/>
        <v/>
      </c>
      <c r="G349" s="424" t="str">
        <f t="shared" si="28"/>
        <v/>
      </c>
    </row>
    <row r="350" spans="3:7" ht="15" customHeight="1" x14ac:dyDescent="0.3">
      <c r="C350" s="420" t="str">
        <f t="shared" si="26"/>
        <v/>
      </c>
      <c r="D350" s="424" t="str">
        <f t="shared" si="24"/>
        <v/>
      </c>
      <c r="E350" s="424" t="str">
        <f t="shared" si="27"/>
        <v/>
      </c>
      <c r="F350" s="424" t="str">
        <f t="shared" si="25"/>
        <v/>
      </c>
      <c r="G350" s="424" t="str">
        <f t="shared" si="28"/>
        <v/>
      </c>
    </row>
    <row r="351" spans="3:7" ht="15" customHeight="1" x14ac:dyDescent="0.3">
      <c r="C351" s="420" t="str">
        <f t="shared" si="26"/>
        <v/>
      </c>
      <c r="D351" s="424" t="str">
        <f t="shared" si="24"/>
        <v/>
      </c>
      <c r="E351" s="424" t="str">
        <f t="shared" si="27"/>
        <v/>
      </c>
      <c r="F351" s="424" t="str">
        <f t="shared" si="25"/>
        <v/>
      </c>
      <c r="G351" s="424" t="str">
        <f t="shared" si="28"/>
        <v/>
      </c>
    </row>
    <row r="352" spans="3:7" ht="15" customHeight="1" x14ac:dyDescent="0.3">
      <c r="C352" s="420" t="str">
        <f t="shared" si="26"/>
        <v/>
      </c>
      <c r="D352" s="424" t="str">
        <f t="shared" si="24"/>
        <v/>
      </c>
      <c r="E352" s="424" t="str">
        <f t="shared" si="27"/>
        <v/>
      </c>
      <c r="F352" s="424" t="str">
        <f t="shared" si="25"/>
        <v/>
      </c>
      <c r="G352" s="424" t="str">
        <f t="shared" si="28"/>
        <v/>
      </c>
    </row>
    <row r="353" spans="3:7" ht="15" customHeight="1" x14ac:dyDescent="0.3">
      <c r="C353" s="420" t="str">
        <f t="shared" si="26"/>
        <v/>
      </c>
      <c r="D353" s="424" t="str">
        <f t="shared" ref="D353:D416" si="29">IF(C353&gt;$D$8,"",PMT($D$6,$D$8,$D$2)*-1)</f>
        <v/>
      </c>
      <c r="E353" s="424" t="str">
        <f t="shared" si="27"/>
        <v/>
      </c>
      <c r="F353" s="424" t="str">
        <f t="shared" ref="F353:F416" si="30">IF(C353&gt;$D$8,"",D353-E353)</f>
        <v/>
      </c>
      <c r="G353" s="424" t="str">
        <f t="shared" si="28"/>
        <v/>
      </c>
    </row>
    <row r="354" spans="3:7" ht="15" customHeight="1" x14ac:dyDescent="0.3">
      <c r="C354" s="420" t="str">
        <f t="shared" si="26"/>
        <v/>
      </c>
      <c r="D354" s="424" t="str">
        <f t="shared" si="29"/>
        <v/>
      </c>
      <c r="E354" s="424" t="str">
        <f t="shared" si="27"/>
        <v/>
      </c>
      <c r="F354" s="424" t="str">
        <f t="shared" si="30"/>
        <v/>
      </c>
      <c r="G354" s="424" t="str">
        <f t="shared" si="28"/>
        <v/>
      </c>
    </row>
    <row r="355" spans="3:7" ht="15" customHeight="1" x14ac:dyDescent="0.3">
      <c r="C355" s="420" t="str">
        <f t="shared" si="26"/>
        <v/>
      </c>
      <c r="D355" s="424" t="str">
        <f t="shared" si="29"/>
        <v/>
      </c>
      <c r="E355" s="424" t="str">
        <f t="shared" si="27"/>
        <v/>
      </c>
      <c r="F355" s="424" t="str">
        <f t="shared" si="30"/>
        <v/>
      </c>
      <c r="G355" s="424" t="str">
        <f t="shared" si="28"/>
        <v/>
      </c>
    </row>
    <row r="356" spans="3:7" ht="15" customHeight="1" x14ac:dyDescent="0.3">
      <c r="C356" s="420" t="str">
        <f t="shared" si="26"/>
        <v/>
      </c>
      <c r="D356" s="424" t="str">
        <f t="shared" si="29"/>
        <v/>
      </c>
      <c r="E356" s="424" t="str">
        <f t="shared" si="27"/>
        <v/>
      </c>
      <c r="F356" s="424" t="str">
        <f t="shared" si="30"/>
        <v/>
      </c>
      <c r="G356" s="424" t="str">
        <f t="shared" si="28"/>
        <v/>
      </c>
    </row>
    <row r="357" spans="3:7" ht="15" customHeight="1" x14ac:dyDescent="0.3">
      <c r="C357" s="420" t="str">
        <f t="shared" si="26"/>
        <v/>
      </c>
      <c r="D357" s="424" t="str">
        <f t="shared" si="29"/>
        <v/>
      </c>
      <c r="E357" s="424" t="str">
        <f t="shared" si="27"/>
        <v/>
      </c>
      <c r="F357" s="424" t="str">
        <f t="shared" si="30"/>
        <v/>
      </c>
      <c r="G357" s="424" t="str">
        <f t="shared" si="28"/>
        <v/>
      </c>
    </row>
    <row r="358" spans="3:7" ht="15" customHeight="1" x14ac:dyDescent="0.3">
      <c r="C358" s="420" t="str">
        <f t="shared" si="26"/>
        <v/>
      </c>
      <c r="D358" s="424" t="str">
        <f t="shared" si="29"/>
        <v/>
      </c>
      <c r="E358" s="424" t="str">
        <f t="shared" si="27"/>
        <v/>
      </c>
      <c r="F358" s="424" t="str">
        <f t="shared" si="30"/>
        <v/>
      </c>
      <c r="G358" s="424" t="str">
        <f t="shared" si="28"/>
        <v/>
      </c>
    </row>
    <row r="359" spans="3:7" ht="15" customHeight="1" x14ac:dyDescent="0.3">
      <c r="C359" s="420" t="str">
        <f t="shared" si="26"/>
        <v/>
      </c>
      <c r="D359" s="424" t="str">
        <f t="shared" si="29"/>
        <v/>
      </c>
      <c r="E359" s="424" t="str">
        <f t="shared" si="27"/>
        <v/>
      </c>
      <c r="F359" s="424" t="str">
        <f t="shared" si="30"/>
        <v/>
      </c>
      <c r="G359" s="424" t="str">
        <f t="shared" si="28"/>
        <v/>
      </c>
    </row>
    <row r="360" spans="3:7" ht="15" customHeight="1" x14ac:dyDescent="0.3">
      <c r="C360" s="420" t="str">
        <f t="shared" si="26"/>
        <v/>
      </c>
      <c r="D360" s="424" t="str">
        <f t="shared" si="29"/>
        <v/>
      </c>
      <c r="E360" s="424" t="str">
        <f t="shared" si="27"/>
        <v/>
      </c>
      <c r="F360" s="424" t="str">
        <f t="shared" si="30"/>
        <v/>
      </c>
      <c r="G360" s="424" t="str">
        <f t="shared" si="28"/>
        <v/>
      </c>
    </row>
    <row r="361" spans="3:7" ht="15" customHeight="1" x14ac:dyDescent="0.3">
      <c r="C361" s="420" t="str">
        <f t="shared" si="26"/>
        <v/>
      </c>
      <c r="D361" s="424" t="str">
        <f t="shared" si="29"/>
        <v/>
      </c>
      <c r="E361" s="424" t="str">
        <f t="shared" si="27"/>
        <v/>
      </c>
      <c r="F361" s="424" t="str">
        <f t="shared" si="30"/>
        <v/>
      </c>
      <c r="G361" s="424" t="str">
        <f t="shared" si="28"/>
        <v/>
      </c>
    </row>
    <row r="362" spans="3:7" ht="15" customHeight="1" x14ac:dyDescent="0.3">
      <c r="C362" s="420" t="str">
        <f t="shared" si="26"/>
        <v/>
      </c>
      <c r="D362" s="424" t="str">
        <f t="shared" si="29"/>
        <v/>
      </c>
      <c r="E362" s="424" t="str">
        <f t="shared" si="27"/>
        <v/>
      </c>
      <c r="F362" s="424" t="str">
        <f t="shared" si="30"/>
        <v/>
      </c>
      <c r="G362" s="424" t="str">
        <f t="shared" si="28"/>
        <v/>
      </c>
    </row>
    <row r="363" spans="3:7" ht="15" customHeight="1" x14ac:dyDescent="0.3">
      <c r="C363" s="420" t="str">
        <f t="shared" si="26"/>
        <v/>
      </c>
      <c r="D363" s="424" t="str">
        <f t="shared" si="29"/>
        <v/>
      </c>
      <c r="E363" s="424" t="str">
        <f t="shared" si="27"/>
        <v/>
      </c>
      <c r="F363" s="424" t="str">
        <f t="shared" si="30"/>
        <v/>
      </c>
      <c r="G363" s="424" t="str">
        <f t="shared" si="28"/>
        <v/>
      </c>
    </row>
    <row r="364" spans="3:7" ht="15" customHeight="1" x14ac:dyDescent="0.3">
      <c r="C364" s="420" t="str">
        <f t="shared" si="26"/>
        <v/>
      </c>
      <c r="D364" s="424" t="str">
        <f t="shared" si="29"/>
        <v/>
      </c>
      <c r="E364" s="424" t="str">
        <f t="shared" si="27"/>
        <v/>
      </c>
      <c r="F364" s="424" t="str">
        <f t="shared" si="30"/>
        <v/>
      </c>
      <c r="G364" s="424" t="str">
        <f t="shared" si="28"/>
        <v/>
      </c>
    </row>
    <row r="365" spans="3:7" ht="15" customHeight="1" x14ac:dyDescent="0.3">
      <c r="C365" s="420" t="str">
        <f t="shared" si="26"/>
        <v/>
      </c>
      <c r="D365" s="424" t="str">
        <f t="shared" si="29"/>
        <v/>
      </c>
      <c r="E365" s="424" t="str">
        <f t="shared" si="27"/>
        <v/>
      </c>
      <c r="F365" s="424" t="str">
        <f t="shared" si="30"/>
        <v/>
      </c>
      <c r="G365" s="424" t="str">
        <f t="shared" si="28"/>
        <v/>
      </c>
    </row>
    <row r="366" spans="3:7" ht="15" customHeight="1" x14ac:dyDescent="0.3">
      <c r="C366" s="420" t="str">
        <f t="shared" si="26"/>
        <v/>
      </c>
      <c r="D366" s="424" t="str">
        <f t="shared" si="29"/>
        <v/>
      </c>
      <c r="E366" s="424" t="str">
        <f t="shared" si="27"/>
        <v/>
      </c>
      <c r="F366" s="424" t="str">
        <f t="shared" si="30"/>
        <v/>
      </c>
      <c r="G366" s="424" t="str">
        <f t="shared" si="28"/>
        <v/>
      </c>
    </row>
    <row r="367" spans="3:7" ht="15" customHeight="1" x14ac:dyDescent="0.3">
      <c r="C367" s="420" t="str">
        <f t="shared" si="26"/>
        <v/>
      </c>
      <c r="D367" s="424" t="str">
        <f t="shared" si="29"/>
        <v/>
      </c>
      <c r="E367" s="424" t="str">
        <f t="shared" si="27"/>
        <v/>
      </c>
      <c r="F367" s="424" t="str">
        <f t="shared" si="30"/>
        <v/>
      </c>
      <c r="G367" s="424" t="str">
        <f t="shared" si="28"/>
        <v/>
      </c>
    </row>
    <row r="368" spans="3:7" ht="15" customHeight="1" x14ac:dyDescent="0.3">
      <c r="C368" s="420" t="str">
        <f t="shared" si="26"/>
        <v/>
      </c>
      <c r="D368" s="424" t="str">
        <f t="shared" si="29"/>
        <v/>
      </c>
      <c r="E368" s="424" t="str">
        <f t="shared" si="27"/>
        <v/>
      </c>
      <c r="F368" s="424" t="str">
        <f t="shared" si="30"/>
        <v/>
      </c>
      <c r="G368" s="424" t="str">
        <f t="shared" si="28"/>
        <v/>
      </c>
    </row>
    <row r="369" spans="3:7" ht="15" customHeight="1" x14ac:dyDescent="0.3">
      <c r="C369" s="420" t="str">
        <f t="shared" si="26"/>
        <v/>
      </c>
      <c r="D369" s="424" t="str">
        <f t="shared" si="29"/>
        <v/>
      </c>
      <c r="E369" s="424" t="str">
        <f t="shared" si="27"/>
        <v/>
      </c>
      <c r="F369" s="424" t="str">
        <f t="shared" si="30"/>
        <v/>
      </c>
      <c r="G369" s="424" t="str">
        <f t="shared" si="28"/>
        <v/>
      </c>
    </row>
    <row r="370" spans="3:7" ht="15" customHeight="1" x14ac:dyDescent="0.3">
      <c r="C370" s="420" t="str">
        <f t="shared" si="26"/>
        <v/>
      </c>
      <c r="D370" s="424" t="str">
        <f t="shared" si="29"/>
        <v/>
      </c>
      <c r="E370" s="424" t="str">
        <f t="shared" si="27"/>
        <v/>
      </c>
      <c r="F370" s="424" t="str">
        <f t="shared" si="30"/>
        <v/>
      </c>
      <c r="G370" s="424" t="str">
        <f t="shared" si="28"/>
        <v/>
      </c>
    </row>
    <row r="371" spans="3:7" ht="15" customHeight="1" x14ac:dyDescent="0.3">
      <c r="C371" s="420" t="str">
        <f t="shared" si="26"/>
        <v/>
      </c>
      <c r="D371" s="424" t="str">
        <f t="shared" si="29"/>
        <v/>
      </c>
      <c r="E371" s="424" t="str">
        <f t="shared" si="27"/>
        <v/>
      </c>
      <c r="F371" s="424" t="str">
        <f t="shared" si="30"/>
        <v/>
      </c>
      <c r="G371" s="424" t="str">
        <f t="shared" si="28"/>
        <v/>
      </c>
    </row>
    <row r="372" spans="3:7" ht="15" customHeight="1" x14ac:dyDescent="0.3">
      <c r="C372" s="420" t="str">
        <f t="shared" si="26"/>
        <v/>
      </c>
      <c r="D372" s="424" t="str">
        <f t="shared" si="29"/>
        <v/>
      </c>
      <c r="E372" s="424" t="str">
        <f t="shared" si="27"/>
        <v/>
      </c>
      <c r="F372" s="424" t="str">
        <f t="shared" si="30"/>
        <v/>
      </c>
      <c r="G372" s="424" t="str">
        <f t="shared" si="28"/>
        <v/>
      </c>
    </row>
    <row r="373" spans="3:7" ht="15" customHeight="1" x14ac:dyDescent="0.3">
      <c r="C373" s="420" t="str">
        <f t="shared" si="26"/>
        <v/>
      </c>
      <c r="D373" s="424" t="str">
        <f t="shared" si="29"/>
        <v/>
      </c>
      <c r="E373" s="424" t="str">
        <f t="shared" si="27"/>
        <v/>
      </c>
      <c r="F373" s="424" t="str">
        <f t="shared" si="30"/>
        <v/>
      </c>
      <c r="G373" s="424" t="str">
        <f t="shared" si="28"/>
        <v/>
      </c>
    </row>
    <row r="374" spans="3:7" ht="15" customHeight="1" x14ac:dyDescent="0.3">
      <c r="C374" s="420" t="str">
        <f t="shared" si="26"/>
        <v/>
      </c>
      <c r="D374" s="424" t="str">
        <f t="shared" si="29"/>
        <v/>
      </c>
      <c r="E374" s="424" t="str">
        <f t="shared" si="27"/>
        <v/>
      </c>
      <c r="F374" s="424" t="str">
        <f t="shared" si="30"/>
        <v/>
      </c>
      <c r="G374" s="424" t="str">
        <f t="shared" si="28"/>
        <v/>
      </c>
    </row>
    <row r="375" spans="3:7" ht="15" customHeight="1" x14ac:dyDescent="0.3">
      <c r="C375" s="420" t="str">
        <f t="shared" si="26"/>
        <v/>
      </c>
      <c r="D375" s="424" t="str">
        <f t="shared" si="29"/>
        <v/>
      </c>
      <c r="E375" s="424" t="str">
        <f t="shared" si="27"/>
        <v/>
      </c>
      <c r="F375" s="424" t="str">
        <f t="shared" si="30"/>
        <v/>
      </c>
      <c r="G375" s="424" t="str">
        <f t="shared" si="28"/>
        <v/>
      </c>
    </row>
    <row r="376" spans="3:7" ht="15" customHeight="1" x14ac:dyDescent="0.3">
      <c r="C376" s="420" t="str">
        <f t="shared" si="26"/>
        <v/>
      </c>
      <c r="D376" s="424" t="str">
        <f t="shared" si="29"/>
        <v/>
      </c>
      <c r="E376" s="424" t="str">
        <f t="shared" si="27"/>
        <v/>
      </c>
      <c r="F376" s="424" t="str">
        <f t="shared" si="30"/>
        <v/>
      </c>
      <c r="G376" s="424" t="str">
        <f t="shared" si="28"/>
        <v/>
      </c>
    </row>
    <row r="377" spans="3:7" ht="15" customHeight="1" x14ac:dyDescent="0.3">
      <c r="C377" s="420" t="str">
        <f t="shared" si="26"/>
        <v/>
      </c>
      <c r="D377" s="424" t="str">
        <f t="shared" si="29"/>
        <v/>
      </c>
      <c r="E377" s="424" t="str">
        <f t="shared" si="27"/>
        <v/>
      </c>
      <c r="F377" s="424" t="str">
        <f t="shared" si="30"/>
        <v/>
      </c>
      <c r="G377" s="424" t="str">
        <f t="shared" si="28"/>
        <v/>
      </c>
    </row>
    <row r="378" spans="3:7" ht="15" customHeight="1" x14ac:dyDescent="0.3">
      <c r="C378" s="420" t="str">
        <f t="shared" si="26"/>
        <v/>
      </c>
      <c r="D378" s="424" t="str">
        <f t="shared" si="29"/>
        <v/>
      </c>
      <c r="E378" s="424" t="str">
        <f t="shared" si="27"/>
        <v/>
      </c>
      <c r="F378" s="424" t="str">
        <f t="shared" si="30"/>
        <v/>
      </c>
      <c r="G378" s="424" t="str">
        <f t="shared" si="28"/>
        <v/>
      </c>
    </row>
    <row r="379" spans="3:7" ht="15" customHeight="1" x14ac:dyDescent="0.3">
      <c r="C379" s="420" t="str">
        <f t="shared" si="26"/>
        <v/>
      </c>
      <c r="D379" s="424" t="str">
        <f t="shared" si="29"/>
        <v/>
      </c>
      <c r="E379" s="424" t="str">
        <f t="shared" si="27"/>
        <v/>
      </c>
      <c r="F379" s="424" t="str">
        <f t="shared" si="30"/>
        <v/>
      </c>
      <c r="G379" s="424" t="str">
        <f t="shared" si="28"/>
        <v/>
      </c>
    </row>
    <row r="380" spans="3:7" ht="15" customHeight="1" x14ac:dyDescent="0.3">
      <c r="C380" s="420" t="str">
        <f t="shared" si="26"/>
        <v/>
      </c>
      <c r="D380" s="424" t="str">
        <f t="shared" si="29"/>
        <v/>
      </c>
      <c r="E380" s="424" t="str">
        <f t="shared" si="27"/>
        <v/>
      </c>
      <c r="F380" s="424" t="str">
        <f t="shared" si="30"/>
        <v/>
      </c>
      <c r="G380" s="424" t="str">
        <f t="shared" si="28"/>
        <v/>
      </c>
    </row>
    <row r="381" spans="3:7" ht="15" customHeight="1" x14ac:dyDescent="0.3">
      <c r="C381" s="420" t="str">
        <f t="shared" si="26"/>
        <v/>
      </c>
      <c r="D381" s="424" t="str">
        <f t="shared" si="29"/>
        <v/>
      </c>
      <c r="E381" s="424" t="str">
        <f t="shared" si="27"/>
        <v/>
      </c>
      <c r="F381" s="424" t="str">
        <f t="shared" si="30"/>
        <v/>
      </c>
      <c r="G381" s="424" t="str">
        <f t="shared" si="28"/>
        <v/>
      </c>
    </row>
    <row r="382" spans="3:7" ht="15" customHeight="1" x14ac:dyDescent="0.3">
      <c r="C382" s="420" t="str">
        <f t="shared" si="26"/>
        <v/>
      </c>
      <c r="D382" s="424" t="str">
        <f t="shared" si="29"/>
        <v/>
      </c>
      <c r="E382" s="424" t="str">
        <f t="shared" si="27"/>
        <v/>
      </c>
      <c r="F382" s="424" t="str">
        <f t="shared" si="30"/>
        <v/>
      </c>
      <c r="G382" s="424" t="str">
        <f t="shared" si="28"/>
        <v/>
      </c>
    </row>
    <row r="383" spans="3:7" ht="15" customHeight="1" x14ac:dyDescent="0.3">
      <c r="C383" s="420" t="str">
        <f t="shared" si="26"/>
        <v/>
      </c>
      <c r="D383" s="424" t="str">
        <f t="shared" si="29"/>
        <v/>
      </c>
      <c r="E383" s="424" t="str">
        <f t="shared" si="27"/>
        <v/>
      </c>
      <c r="F383" s="424" t="str">
        <f t="shared" si="30"/>
        <v/>
      </c>
      <c r="G383" s="424" t="str">
        <f t="shared" si="28"/>
        <v/>
      </c>
    </row>
    <row r="384" spans="3:7" ht="15" customHeight="1" x14ac:dyDescent="0.3">
      <c r="C384" s="420" t="str">
        <f t="shared" si="26"/>
        <v/>
      </c>
      <c r="D384" s="424" t="str">
        <f t="shared" si="29"/>
        <v/>
      </c>
      <c r="E384" s="424" t="str">
        <f t="shared" si="27"/>
        <v/>
      </c>
      <c r="F384" s="424" t="str">
        <f t="shared" si="30"/>
        <v/>
      </c>
      <c r="G384" s="424" t="str">
        <f t="shared" si="28"/>
        <v/>
      </c>
    </row>
    <row r="385" spans="3:7" ht="15" customHeight="1" x14ac:dyDescent="0.3">
      <c r="C385" s="420" t="str">
        <f t="shared" si="26"/>
        <v/>
      </c>
      <c r="D385" s="424" t="str">
        <f t="shared" si="29"/>
        <v/>
      </c>
      <c r="E385" s="424" t="str">
        <f t="shared" si="27"/>
        <v/>
      </c>
      <c r="F385" s="424" t="str">
        <f t="shared" si="30"/>
        <v/>
      </c>
      <c r="G385" s="424" t="str">
        <f t="shared" si="28"/>
        <v/>
      </c>
    </row>
    <row r="386" spans="3:7" ht="15" customHeight="1" x14ac:dyDescent="0.3">
      <c r="C386" s="420" t="str">
        <f t="shared" si="26"/>
        <v/>
      </c>
      <c r="D386" s="424" t="str">
        <f t="shared" si="29"/>
        <v/>
      </c>
      <c r="E386" s="424" t="str">
        <f t="shared" si="27"/>
        <v/>
      </c>
      <c r="F386" s="424" t="str">
        <f t="shared" si="30"/>
        <v/>
      </c>
      <c r="G386" s="424" t="str">
        <f t="shared" si="28"/>
        <v/>
      </c>
    </row>
    <row r="387" spans="3:7" ht="15" customHeight="1" x14ac:dyDescent="0.3">
      <c r="C387" s="420" t="str">
        <f t="shared" si="26"/>
        <v/>
      </c>
      <c r="D387" s="424" t="str">
        <f t="shared" si="29"/>
        <v/>
      </c>
      <c r="E387" s="424" t="str">
        <f t="shared" si="27"/>
        <v/>
      </c>
      <c r="F387" s="424" t="str">
        <f t="shared" si="30"/>
        <v/>
      </c>
      <c r="G387" s="424" t="str">
        <f t="shared" si="28"/>
        <v/>
      </c>
    </row>
    <row r="388" spans="3:7" ht="15" customHeight="1" x14ac:dyDescent="0.3">
      <c r="C388" s="420" t="str">
        <f t="shared" si="26"/>
        <v/>
      </c>
      <c r="D388" s="424" t="str">
        <f t="shared" si="29"/>
        <v/>
      </c>
      <c r="E388" s="424" t="str">
        <f t="shared" si="27"/>
        <v/>
      </c>
      <c r="F388" s="424" t="str">
        <f t="shared" si="30"/>
        <v/>
      </c>
      <c r="G388" s="424" t="str">
        <f t="shared" si="28"/>
        <v/>
      </c>
    </row>
    <row r="389" spans="3:7" ht="15" customHeight="1" x14ac:dyDescent="0.3">
      <c r="C389" s="420" t="str">
        <f t="shared" si="26"/>
        <v/>
      </c>
      <c r="D389" s="424" t="str">
        <f t="shared" si="29"/>
        <v/>
      </c>
      <c r="E389" s="424" t="str">
        <f t="shared" si="27"/>
        <v/>
      </c>
      <c r="F389" s="424" t="str">
        <f t="shared" si="30"/>
        <v/>
      </c>
      <c r="G389" s="424" t="str">
        <f t="shared" si="28"/>
        <v/>
      </c>
    </row>
    <row r="390" spans="3:7" ht="15" customHeight="1" x14ac:dyDescent="0.3">
      <c r="C390" s="420" t="str">
        <f t="shared" si="26"/>
        <v/>
      </c>
      <c r="D390" s="424" t="str">
        <f t="shared" si="29"/>
        <v/>
      </c>
      <c r="E390" s="424" t="str">
        <f t="shared" si="27"/>
        <v/>
      </c>
      <c r="F390" s="424" t="str">
        <f t="shared" si="30"/>
        <v/>
      </c>
      <c r="G390" s="424" t="str">
        <f t="shared" si="28"/>
        <v/>
      </c>
    </row>
    <row r="391" spans="3:7" ht="15" customHeight="1" x14ac:dyDescent="0.3">
      <c r="C391" s="420" t="str">
        <f t="shared" si="26"/>
        <v/>
      </c>
      <c r="D391" s="424" t="str">
        <f t="shared" si="29"/>
        <v/>
      </c>
      <c r="E391" s="424" t="str">
        <f t="shared" si="27"/>
        <v/>
      </c>
      <c r="F391" s="424" t="str">
        <f t="shared" si="30"/>
        <v/>
      </c>
      <c r="G391" s="424" t="str">
        <f t="shared" si="28"/>
        <v/>
      </c>
    </row>
    <row r="392" spans="3:7" ht="15" customHeight="1" x14ac:dyDescent="0.3">
      <c r="C392" s="420" t="str">
        <f t="shared" si="26"/>
        <v/>
      </c>
      <c r="D392" s="424" t="str">
        <f t="shared" si="29"/>
        <v/>
      </c>
      <c r="E392" s="424" t="str">
        <f t="shared" si="27"/>
        <v/>
      </c>
      <c r="F392" s="424" t="str">
        <f t="shared" si="30"/>
        <v/>
      </c>
      <c r="G392" s="424" t="str">
        <f t="shared" si="28"/>
        <v/>
      </c>
    </row>
    <row r="393" spans="3:7" ht="15" customHeight="1" x14ac:dyDescent="0.3">
      <c r="C393" s="420" t="str">
        <f t="shared" si="26"/>
        <v/>
      </c>
      <c r="D393" s="424" t="str">
        <f t="shared" si="29"/>
        <v/>
      </c>
      <c r="E393" s="424" t="str">
        <f t="shared" si="27"/>
        <v/>
      </c>
      <c r="F393" s="424" t="str">
        <f t="shared" si="30"/>
        <v/>
      </c>
      <c r="G393" s="424" t="str">
        <f t="shared" si="28"/>
        <v/>
      </c>
    </row>
    <row r="394" spans="3:7" ht="15" customHeight="1" x14ac:dyDescent="0.3">
      <c r="C394" s="420" t="str">
        <f t="shared" si="26"/>
        <v/>
      </c>
      <c r="D394" s="424" t="str">
        <f t="shared" si="29"/>
        <v/>
      </c>
      <c r="E394" s="424" t="str">
        <f t="shared" si="27"/>
        <v/>
      </c>
      <c r="F394" s="424" t="str">
        <f t="shared" si="30"/>
        <v/>
      </c>
      <c r="G394" s="424" t="str">
        <f t="shared" si="28"/>
        <v/>
      </c>
    </row>
    <row r="395" spans="3:7" ht="15" customHeight="1" x14ac:dyDescent="0.3">
      <c r="C395" s="420" t="str">
        <f t="shared" si="26"/>
        <v/>
      </c>
      <c r="D395" s="424" t="str">
        <f t="shared" si="29"/>
        <v/>
      </c>
      <c r="E395" s="424" t="str">
        <f t="shared" si="27"/>
        <v/>
      </c>
      <c r="F395" s="424" t="str">
        <f t="shared" si="30"/>
        <v/>
      </c>
      <c r="G395" s="424" t="str">
        <f t="shared" si="28"/>
        <v/>
      </c>
    </row>
    <row r="396" spans="3:7" ht="15" customHeight="1" x14ac:dyDescent="0.3">
      <c r="C396" s="420" t="str">
        <f t="shared" si="26"/>
        <v/>
      </c>
      <c r="D396" s="424" t="str">
        <f t="shared" si="29"/>
        <v/>
      </c>
      <c r="E396" s="424" t="str">
        <f t="shared" si="27"/>
        <v/>
      </c>
      <c r="F396" s="424" t="str">
        <f t="shared" si="30"/>
        <v/>
      </c>
      <c r="G396" s="424" t="str">
        <f t="shared" si="28"/>
        <v/>
      </c>
    </row>
    <row r="397" spans="3:7" ht="15" customHeight="1" x14ac:dyDescent="0.3">
      <c r="C397" s="420" t="str">
        <f t="shared" si="26"/>
        <v/>
      </c>
      <c r="D397" s="424" t="str">
        <f t="shared" si="29"/>
        <v/>
      </c>
      <c r="E397" s="424" t="str">
        <f t="shared" si="27"/>
        <v/>
      </c>
      <c r="F397" s="424" t="str">
        <f t="shared" si="30"/>
        <v/>
      </c>
      <c r="G397" s="424" t="str">
        <f t="shared" ref="G397:G460" si="31">IF(C397&gt;$D$8,"",G396-F397)</f>
        <v/>
      </c>
    </row>
    <row r="398" spans="3:7" ht="15" customHeight="1" x14ac:dyDescent="0.3">
      <c r="C398" s="420" t="str">
        <f t="shared" si="26"/>
        <v/>
      </c>
      <c r="D398" s="424" t="str">
        <f t="shared" si="29"/>
        <v/>
      </c>
      <c r="E398" s="424" t="str">
        <f t="shared" si="27"/>
        <v/>
      </c>
      <c r="F398" s="424" t="str">
        <f t="shared" si="30"/>
        <v/>
      </c>
      <c r="G398" s="424" t="str">
        <f t="shared" si="31"/>
        <v/>
      </c>
    </row>
    <row r="399" spans="3:7" ht="15" customHeight="1" x14ac:dyDescent="0.3">
      <c r="C399" s="420" t="str">
        <f t="shared" si="26"/>
        <v/>
      </c>
      <c r="D399" s="424" t="str">
        <f t="shared" si="29"/>
        <v/>
      </c>
      <c r="E399" s="424" t="str">
        <f t="shared" si="27"/>
        <v/>
      </c>
      <c r="F399" s="424" t="str">
        <f t="shared" si="30"/>
        <v/>
      </c>
      <c r="G399" s="424" t="str">
        <f t="shared" si="31"/>
        <v/>
      </c>
    </row>
    <row r="400" spans="3:7" ht="15" customHeight="1" x14ac:dyDescent="0.3">
      <c r="D400" s="426"/>
      <c r="E400" s="426"/>
      <c r="F400" s="426"/>
      <c r="G400" s="426"/>
    </row>
    <row r="401" spans="4:7" ht="15" customHeight="1" x14ac:dyDescent="0.3">
      <c r="D401" s="426"/>
      <c r="E401" s="426"/>
      <c r="F401" s="426"/>
      <c r="G401" s="426"/>
    </row>
    <row r="402" spans="4:7" ht="15" customHeight="1" x14ac:dyDescent="0.3">
      <c r="D402" s="426"/>
      <c r="E402" s="426"/>
      <c r="F402" s="426"/>
      <c r="G402" s="426"/>
    </row>
    <row r="403" spans="4:7" ht="15" customHeight="1" x14ac:dyDescent="0.3">
      <c r="D403" s="426"/>
      <c r="E403" s="426"/>
      <c r="F403" s="426"/>
      <c r="G403" s="426"/>
    </row>
    <row r="404" spans="4:7" ht="15" customHeight="1" x14ac:dyDescent="0.3">
      <c r="D404" s="426"/>
      <c r="E404" s="426"/>
      <c r="F404" s="426"/>
      <c r="G404" s="426"/>
    </row>
    <row r="405" spans="4:7" ht="15" customHeight="1" x14ac:dyDescent="0.3">
      <c r="D405" s="426"/>
      <c r="E405" s="426"/>
      <c r="F405" s="426"/>
      <c r="G405" s="426"/>
    </row>
    <row r="406" spans="4:7" ht="15" customHeight="1" x14ac:dyDescent="0.3">
      <c r="D406" s="426"/>
      <c r="E406" s="426"/>
      <c r="F406" s="426"/>
      <c r="G406" s="426"/>
    </row>
    <row r="407" spans="4:7" ht="15" customHeight="1" x14ac:dyDescent="0.3">
      <c r="D407" s="426"/>
      <c r="E407" s="426"/>
      <c r="F407" s="426"/>
      <c r="G407" s="426"/>
    </row>
    <row r="408" spans="4:7" ht="15" customHeight="1" x14ac:dyDescent="0.3">
      <c r="D408" s="426"/>
      <c r="E408" s="426"/>
      <c r="F408" s="426"/>
      <c r="G408" s="426"/>
    </row>
    <row r="409" spans="4:7" ht="15" customHeight="1" x14ac:dyDescent="0.3">
      <c r="D409" s="426"/>
      <c r="E409" s="426"/>
      <c r="F409" s="426"/>
      <c r="G409" s="426"/>
    </row>
    <row r="410" spans="4:7" ht="15" customHeight="1" x14ac:dyDescent="0.3">
      <c r="D410" s="426"/>
      <c r="E410" s="426"/>
      <c r="F410" s="426"/>
      <c r="G410" s="426"/>
    </row>
    <row r="411" spans="4:7" ht="15" customHeight="1" x14ac:dyDescent="0.3">
      <c r="D411" s="426"/>
      <c r="E411" s="426"/>
      <c r="F411" s="426"/>
      <c r="G411" s="426"/>
    </row>
    <row r="412" spans="4:7" ht="15" customHeight="1" x14ac:dyDescent="0.3">
      <c r="D412" s="426"/>
      <c r="E412" s="426"/>
      <c r="F412" s="426"/>
      <c r="G412" s="426"/>
    </row>
    <row r="413" spans="4:7" ht="15" customHeight="1" x14ac:dyDescent="0.3">
      <c r="D413" s="426"/>
      <c r="E413" s="426"/>
      <c r="F413" s="426"/>
      <c r="G413" s="426"/>
    </row>
    <row r="414" spans="4:7" ht="15" customHeight="1" x14ac:dyDescent="0.3">
      <c r="D414" s="426"/>
      <c r="E414" s="426"/>
      <c r="F414" s="426"/>
      <c r="G414" s="426"/>
    </row>
    <row r="415" spans="4:7" ht="15" customHeight="1" x14ac:dyDescent="0.3">
      <c r="D415" s="426"/>
      <c r="E415" s="426"/>
      <c r="F415" s="426"/>
      <c r="G415" s="426"/>
    </row>
    <row r="416" spans="4:7" ht="15" customHeight="1" x14ac:dyDescent="0.3">
      <c r="D416" s="426"/>
      <c r="E416" s="426"/>
      <c r="F416" s="426"/>
      <c r="G416" s="426"/>
    </row>
    <row r="417" spans="4:7" ht="15" customHeight="1" x14ac:dyDescent="0.3">
      <c r="D417" s="426"/>
      <c r="E417" s="426"/>
      <c r="F417" s="426"/>
      <c r="G417" s="426"/>
    </row>
    <row r="418" spans="4:7" ht="15" customHeight="1" x14ac:dyDescent="0.3">
      <c r="D418" s="426"/>
      <c r="E418" s="426"/>
      <c r="F418" s="426"/>
      <c r="G418" s="426"/>
    </row>
    <row r="419" spans="4:7" ht="15" customHeight="1" x14ac:dyDescent="0.3">
      <c r="D419" s="426"/>
      <c r="E419" s="426"/>
      <c r="F419" s="426"/>
      <c r="G419" s="426"/>
    </row>
    <row r="420" spans="4:7" ht="15" customHeight="1" x14ac:dyDescent="0.3">
      <c r="D420" s="426"/>
      <c r="E420" s="426"/>
      <c r="F420" s="426"/>
      <c r="G420" s="426"/>
    </row>
    <row r="421" spans="4:7" ht="15" customHeight="1" x14ac:dyDescent="0.3">
      <c r="D421" s="426"/>
      <c r="E421" s="426"/>
      <c r="F421" s="426"/>
      <c r="G421" s="426"/>
    </row>
    <row r="422" spans="4:7" ht="15" customHeight="1" x14ac:dyDescent="0.3">
      <c r="D422" s="426"/>
      <c r="E422" s="426"/>
      <c r="F422" s="426"/>
      <c r="G422" s="426"/>
    </row>
    <row r="423" spans="4:7" ht="15" customHeight="1" x14ac:dyDescent="0.3">
      <c r="D423" s="426"/>
      <c r="E423" s="426"/>
      <c r="F423" s="426"/>
      <c r="G423" s="426"/>
    </row>
    <row r="424" spans="4:7" ht="15" customHeight="1" x14ac:dyDescent="0.3">
      <c r="D424" s="426"/>
      <c r="E424" s="426"/>
      <c r="F424" s="426"/>
      <c r="G424" s="426"/>
    </row>
    <row r="425" spans="4:7" ht="15" customHeight="1" x14ac:dyDescent="0.3">
      <c r="D425" s="426"/>
      <c r="E425" s="426"/>
      <c r="F425" s="426"/>
      <c r="G425" s="426"/>
    </row>
    <row r="426" spans="4:7" ht="15" customHeight="1" x14ac:dyDescent="0.3">
      <c r="D426" s="426"/>
      <c r="E426" s="426"/>
      <c r="F426" s="426"/>
      <c r="G426" s="426"/>
    </row>
    <row r="427" spans="4:7" ht="15" customHeight="1" x14ac:dyDescent="0.3">
      <c r="D427" s="426"/>
      <c r="E427" s="426"/>
      <c r="F427" s="426"/>
      <c r="G427" s="426"/>
    </row>
    <row r="428" spans="4:7" ht="15" customHeight="1" x14ac:dyDescent="0.3">
      <c r="D428" s="426"/>
      <c r="E428" s="426"/>
      <c r="F428" s="426"/>
      <c r="G428" s="426"/>
    </row>
    <row r="429" spans="4:7" ht="15" customHeight="1" x14ac:dyDescent="0.3">
      <c r="D429" s="426"/>
      <c r="E429" s="426"/>
      <c r="F429" s="426"/>
      <c r="G429" s="426"/>
    </row>
    <row r="430" spans="4:7" ht="15" customHeight="1" x14ac:dyDescent="0.3">
      <c r="D430" s="426"/>
      <c r="E430" s="426"/>
      <c r="F430" s="426"/>
      <c r="G430" s="426"/>
    </row>
    <row r="431" spans="4:7" ht="15" customHeight="1" x14ac:dyDescent="0.3">
      <c r="D431" s="426"/>
      <c r="E431" s="426"/>
      <c r="F431" s="426"/>
      <c r="G431" s="426"/>
    </row>
    <row r="432" spans="4:7" ht="15" customHeight="1" x14ac:dyDescent="0.3">
      <c r="D432" s="426"/>
      <c r="E432" s="426"/>
      <c r="F432" s="426"/>
      <c r="G432" s="426"/>
    </row>
    <row r="433" spans="4:7" ht="15" customHeight="1" x14ac:dyDescent="0.3">
      <c r="D433" s="426"/>
      <c r="E433" s="426"/>
      <c r="F433" s="426"/>
      <c r="G433" s="426"/>
    </row>
    <row r="434" spans="4:7" ht="15" customHeight="1" x14ac:dyDescent="0.3">
      <c r="D434" s="426"/>
      <c r="E434" s="426"/>
      <c r="F434" s="426"/>
      <c r="G434" s="426"/>
    </row>
    <row r="435" spans="4:7" ht="15" customHeight="1" x14ac:dyDescent="0.3">
      <c r="D435" s="426"/>
      <c r="E435" s="426"/>
      <c r="F435" s="426"/>
      <c r="G435" s="426"/>
    </row>
    <row r="436" spans="4:7" ht="15" customHeight="1" x14ac:dyDescent="0.3">
      <c r="D436" s="426"/>
      <c r="E436" s="426"/>
      <c r="F436" s="426"/>
      <c r="G436" s="426"/>
    </row>
    <row r="437" spans="4:7" ht="15" customHeight="1" x14ac:dyDescent="0.3">
      <c r="D437" s="426"/>
      <c r="E437" s="426"/>
      <c r="F437" s="426"/>
      <c r="G437" s="426"/>
    </row>
    <row r="438" spans="4:7" ht="15" customHeight="1" x14ac:dyDescent="0.3">
      <c r="D438" s="426"/>
      <c r="E438" s="426"/>
      <c r="F438" s="426"/>
      <c r="G438" s="426"/>
    </row>
    <row r="439" spans="4:7" ht="15" customHeight="1" x14ac:dyDescent="0.3">
      <c r="D439" s="426"/>
      <c r="E439" s="426"/>
      <c r="F439" s="426"/>
      <c r="G439" s="426"/>
    </row>
    <row r="440" spans="4:7" ht="15" customHeight="1" x14ac:dyDescent="0.3">
      <c r="D440" s="426"/>
      <c r="E440" s="426"/>
      <c r="F440" s="426"/>
      <c r="G440" s="426"/>
    </row>
    <row r="441" spans="4:7" ht="15" customHeight="1" x14ac:dyDescent="0.3">
      <c r="D441" s="426"/>
      <c r="E441" s="426"/>
      <c r="F441" s="426"/>
      <c r="G441" s="426"/>
    </row>
    <row r="442" spans="4:7" ht="15" customHeight="1" x14ac:dyDescent="0.3">
      <c r="D442" s="426"/>
      <c r="E442" s="426"/>
      <c r="F442" s="426"/>
      <c r="G442" s="426"/>
    </row>
    <row r="443" spans="4:7" ht="15" customHeight="1" x14ac:dyDescent="0.3">
      <c r="D443" s="426"/>
      <c r="E443" s="426"/>
      <c r="F443" s="426"/>
      <c r="G443" s="426"/>
    </row>
    <row r="444" spans="4:7" ht="15" customHeight="1" x14ac:dyDescent="0.3">
      <c r="D444" s="426"/>
      <c r="E444" s="426"/>
      <c r="F444" s="426"/>
      <c r="G444" s="426"/>
    </row>
    <row r="445" spans="4:7" ht="15" customHeight="1" x14ac:dyDescent="0.3">
      <c r="D445" s="426"/>
      <c r="E445" s="426"/>
      <c r="F445" s="426"/>
      <c r="G445" s="426"/>
    </row>
    <row r="446" spans="4:7" ht="15" customHeight="1" x14ac:dyDescent="0.3">
      <c r="D446" s="426"/>
      <c r="E446" s="426"/>
      <c r="F446" s="426"/>
      <c r="G446" s="426"/>
    </row>
    <row r="447" spans="4:7" ht="15" customHeight="1" x14ac:dyDescent="0.3">
      <c r="D447" s="426"/>
      <c r="E447" s="426"/>
      <c r="F447" s="426"/>
      <c r="G447" s="426"/>
    </row>
    <row r="448" spans="4:7" ht="15" customHeight="1" x14ac:dyDescent="0.3">
      <c r="D448" s="426"/>
      <c r="E448" s="426"/>
      <c r="F448" s="426"/>
      <c r="G448" s="426"/>
    </row>
    <row r="449" spans="4:7" ht="15" customHeight="1" x14ac:dyDescent="0.3">
      <c r="D449" s="426"/>
      <c r="E449" s="426"/>
      <c r="F449" s="426"/>
      <c r="G449" s="426"/>
    </row>
    <row r="450" spans="4:7" ht="15" customHeight="1" x14ac:dyDescent="0.3">
      <c r="D450" s="426"/>
      <c r="E450" s="426"/>
      <c r="F450" s="426"/>
      <c r="G450" s="426"/>
    </row>
    <row r="451" spans="4:7" ht="15" customHeight="1" x14ac:dyDescent="0.3">
      <c r="D451" s="426"/>
      <c r="E451" s="426"/>
      <c r="F451" s="426"/>
      <c r="G451" s="426"/>
    </row>
    <row r="452" spans="4:7" ht="15" customHeight="1" x14ac:dyDescent="0.3">
      <c r="D452" s="426"/>
      <c r="E452" s="426"/>
      <c r="F452" s="426"/>
      <c r="G452" s="426"/>
    </row>
    <row r="453" spans="4:7" ht="15" customHeight="1" x14ac:dyDescent="0.3">
      <c r="D453" s="426"/>
      <c r="E453" s="426"/>
      <c r="F453" s="426"/>
      <c r="G453" s="426"/>
    </row>
    <row r="454" spans="4:7" ht="15" customHeight="1" x14ac:dyDescent="0.3">
      <c r="D454" s="426"/>
      <c r="E454" s="426"/>
      <c r="F454" s="426"/>
      <c r="G454" s="426"/>
    </row>
    <row r="455" spans="4:7" ht="15" customHeight="1" x14ac:dyDescent="0.3">
      <c r="D455" s="426"/>
      <c r="E455" s="426"/>
      <c r="F455" s="426"/>
      <c r="G455" s="426"/>
    </row>
    <row r="456" spans="4:7" ht="15" customHeight="1" x14ac:dyDescent="0.3">
      <c r="D456" s="426"/>
      <c r="E456" s="426"/>
      <c r="F456" s="426"/>
      <c r="G456" s="426"/>
    </row>
    <row r="457" spans="4:7" ht="15" customHeight="1" x14ac:dyDescent="0.3">
      <c r="D457" s="426"/>
      <c r="E457" s="426"/>
      <c r="F457" s="426"/>
      <c r="G457" s="426"/>
    </row>
    <row r="458" spans="4:7" ht="15" customHeight="1" x14ac:dyDescent="0.3">
      <c r="D458" s="426"/>
      <c r="E458" s="426"/>
      <c r="F458" s="426"/>
      <c r="G458" s="426"/>
    </row>
    <row r="459" spans="4:7" ht="15" customHeight="1" x14ac:dyDescent="0.3">
      <c r="D459" s="426"/>
      <c r="E459" s="426"/>
      <c r="F459" s="426"/>
      <c r="G459" s="426"/>
    </row>
    <row r="460" spans="4:7" ht="15" customHeight="1" x14ac:dyDescent="0.3">
      <c r="D460" s="426"/>
      <c r="E460" s="426"/>
      <c r="F460" s="426"/>
      <c r="G460" s="426"/>
    </row>
    <row r="461" spans="4:7" ht="15" customHeight="1" x14ac:dyDescent="0.3">
      <c r="D461" s="426"/>
      <c r="E461" s="426"/>
      <c r="F461" s="426"/>
      <c r="G461" s="426"/>
    </row>
    <row r="462" spans="4:7" ht="15" customHeight="1" x14ac:dyDescent="0.3">
      <c r="D462" s="426"/>
      <c r="E462" s="426"/>
      <c r="F462" s="426"/>
      <c r="G462" s="426"/>
    </row>
    <row r="463" spans="4:7" ht="15" customHeight="1" x14ac:dyDescent="0.3">
      <c r="D463" s="426"/>
      <c r="E463" s="426"/>
      <c r="F463" s="426"/>
      <c r="G463" s="426"/>
    </row>
    <row r="464" spans="4:7" ht="15" customHeight="1" x14ac:dyDescent="0.3">
      <c r="D464" s="426"/>
      <c r="E464" s="426"/>
      <c r="F464" s="426"/>
      <c r="G464" s="426"/>
    </row>
    <row r="465" spans="4:7" ht="15" customHeight="1" x14ac:dyDescent="0.3">
      <c r="D465" s="426"/>
      <c r="E465" s="426"/>
      <c r="F465" s="426"/>
      <c r="G465" s="426"/>
    </row>
    <row r="466" spans="4:7" ht="15" customHeight="1" x14ac:dyDescent="0.3">
      <c r="D466" s="426"/>
      <c r="E466" s="426"/>
      <c r="F466" s="426"/>
      <c r="G466" s="426"/>
    </row>
    <row r="467" spans="4:7" ht="15" customHeight="1" x14ac:dyDescent="0.3">
      <c r="D467" s="426"/>
      <c r="E467" s="426"/>
      <c r="F467" s="426"/>
      <c r="G467" s="426"/>
    </row>
    <row r="468" spans="4:7" ht="15" customHeight="1" x14ac:dyDescent="0.3">
      <c r="D468" s="426"/>
      <c r="E468" s="426"/>
      <c r="F468" s="426"/>
      <c r="G468" s="426"/>
    </row>
    <row r="469" spans="4:7" ht="15" customHeight="1" x14ac:dyDescent="0.3">
      <c r="D469" s="426"/>
      <c r="E469" s="426"/>
      <c r="F469" s="426"/>
      <c r="G469" s="426"/>
    </row>
    <row r="470" spans="4:7" ht="15" customHeight="1" x14ac:dyDescent="0.3">
      <c r="D470" s="426"/>
      <c r="E470" s="426"/>
      <c r="F470" s="426"/>
      <c r="G470" s="426"/>
    </row>
    <row r="471" spans="4:7" ht="15" customHeight="1" x14ac:dyDescent="0.3">
      <c r="D471" s="426"/>
      <c r="E471" s="426"/>
      <c r="F471" s="426"/>
      <c r="G471" s="426"/>
    </row>
    <row r="472" spans="4:7" ht="15" customHeight="1" x14ac:dyDescent="0.3">
      <c r="D472" s="426"/>
      <c r="E472" s="426"/>
      <c r="F472" s="426"/>
      <c r="G472" s="426"/>
    </row>
    <row r="473" spans="4:7" ht="15" customHeight="1" x14ac:dyDescent="0.3">
      <c r="D473" s="426"/>
      <c r="E473" s="426"/>
      <c r="F473" s="426"/>
      <c r="G473" s="426"/>
    </row>
    <row r="474" spans="4:7" ht="15" customHeight="1" x14ac:dyDescent="0.3">
      <c r="D474" s="426"/>
      <c r="E474" s="426"/>
      <c r="F474" s="426"/>
      <c r="G474" s="426"/>
    </row>
    <row r="475" spans="4:7" ht="15" customHeight="1" x14ac:dyDescent="0.3">
      <c r="D475" s="426"/>
      <c r="E475" s="426"/>
      <c r="F475" s="426"/>
      <c r="G475" s="426"/>
    </row>
    <row r="476" spans="4:7" ht="15" customHeight="1" x14ac:dyDescent="0.3">
      <c r="D476" s="426"/>
      <c r="E476" s="426"/>
      <c r="F476" s="426"/>
      <c r="G476" s="426"/>
    </row>
    <row r="477" spans="4:7" ht="15" customHeight="1" x14ac:dyDescent="0.3">
      <c r="D477" s="426"/>
      <c r="E477" s="426"/>
      <c r="F477" s="426"/>
      <c r="G477" s="426"/>
    </row>
    <row r="478" spans="4:7" ht="15" customHeight="1" x14ac:dyDescent="0.3">
      <c r="D478" s="426"/>
      <c r="E478" s="426"/>
      <c r="F478" s="426"/>
      <c r="G478" s="426"/>
    </row>
    <row r="479" spans="4:7" ht="15" customHeight="1" x14ac:dyDescent="0.3">
      <c r="D479" s="426"/>
      <c r="E479" s="426"/>
      <c r="F479" s="426"/>
      <c r="G479" s="426"/>
    </row>
    <row r="480" spans="4:7" ht="15" customHeight="1" x14ac:dyDescent="0.3">
      <c r="D480" s="426"/>
      <c r="E480" s="426"/>
      <c r="F480" s="426"/>
      <c r="G480" s="426"/>
    </row>
    <row r="481" spans="4:7" ht="15" customHeight="1" x14ac:dyDescent="0.3">
      <c r="D481" s="426"/>
      <c r="E481" s="426"/>
      <c r="F481" s="426"/>
      <c r="G481" s="426"/>
    </row>
    <row r="482" spans="4:7" ht="15" customHeight="1" x14ac:dyDescent="0.3">
      <c r="D482" s="426"/>
      <c r="E482" s="426"/>
      <c r="F482" s="426"/>
      <c r="G482" s="426"/>
    </row>
    <row r="483" spans="4:7" ht="15" customHeight="1" x14ac:dyDescent="0.3">
      <c r="D483" s="426"/>
      <c r="E483" s="426"/>
      <c r="F483" s="426"/>
      <c r="G483" s="426"/>
    </row>
    <row r="484" spans="4:7" ht="15" customHeight="1" x14ac:dyDescent="0.3">
      <c r="D484" s="426"/>
      <c r="E484" s="426"/>
      <c r="F484" s="426"/>
      <c r="G484" s="426"/>
    </row>
    <row r="485" spans="4:7" ht="15" customHeight="1" x14ac:dyDescent="0.3">
      <c r="D485" s="426"/>
      <c r="E485" s="426"/>
      <c r="F485" s="426"/>
      <c r="G485" s="426"/>
    </row>
    <row r="486" spans="4:7" ht="15" customHeight="1" x14ac:dyDescent="0.3">
      <c r="D486" s="426"/>
      <c r="E486" s="426"/>
      <c r="F486" s="426"/>
      <c r="G486" s="426"/>
    </row>
    <row r="487" spans="4:7" ht="15" customHeight="1" x14ac:dyDescent="0.3">
      <c r="D487" s="426"/>
      <c r="E487" s="426"/>
      <c r="F487" s="426"/>
      <c r="G487" s="426"/>
    </row>
    <row r="488" spans="4:7" ht="15" customHeight="1" x14ac:dyDescent="0.3">
      <c r="D488" s="426"/>
      <c r="E488" s="426"/>
      <c r="F488" s="426"/>
      <c r="G488" s="426"/>
    </row>
    <row r="489" spans="4:7" ht="15" customHeight="1" x14ac:dyDescent="0.3">
      <c r="D489" s="426"/>
      <c r="E489" s="426"/>
      <c r="F489" s="426"/>
      <c r="G489" s="426"/>
    </row>
    <row r="490" spans="4:7" ht="15" customHeight="1" x14ac:dyDescent="0.3">
      <c r="D490" s="426"/>
      <c r="E490" s="426"/>
      <c r="F490" s="426"/>
      <c r="G490" s="426"/>
    </row>
    <row r="491" spans="4:7" ht="15" customHeight="1" x14ac:dyDescent="0.3">
      <c r="D491" s="426"/>
      <c r="E491" s="426"/>
      <c r="F491" s="426"/>
      <c r="G491" s="426"/>
    </row>
    <row r="492" spans="4:7" ht="15" customHeight="1" x14ac:dyDescent="0.3">
      <c r="D492" s="426"/>
      <c r="E492" s="426"/>
      <c r="F492" s="426"/>
      <c r="G492" s="426"/>
    </row>
    <row r="493" spans="4:7" ht="15" customHeight="1" x14ac:dyDescent="0.3">
      <c r="D493" s="426"/>
      <c r="E493" s="426"/>
      <c r="F493" s="426"/>
      <c r="G493" s="426"/>
    </row>
    <row r="494" spans="4:7" ht="15" customHeight="1" x14ac:dyDescent="0.3">
      <c r="D494" s="426"/>
      <c r="E494" s="426"/>
      <c r="F494" s="426"/>
      <c r="G494" s="426"/>
    </row>
    <row r="495" spans="4:7" ht="15" customHeight="1" x14ac:dyDescent="0.3">
      <c r="D495" s="426"/>
      <c r="E495" s="426"/>
      <c r="F495" s="426"/>
      <c r="G495" s="426"/>
    </row>
    <row r="496" spans="4:7" ht="15" customHeight="1" x14ac:dyDescent="0.3">
      <c r="D496" s="426"/>
      <c r="E496" s="426"/>
      <c r="F496" s="426"/>
      <c r="G496" s="426"/>
    </row>
    <row r="497" spans="4:7" ht="15" customHeight="1" x14ac:dyDescent="0.3">
      <c r="D497" s="426"/>
      <c r="E497" s="426"/>
      <c r="F497" s="426"/>
      <c r="G497" s="426"/>
    </row>
    <row r="498" spans="4:7" ht="15" customHeight="1" x14ac:dyDescent="0.3">
      <c r="D498" s="426"/>
      <c r="E498" s="426"/>
      <c r="F498" s="426"/>
      <c r="G498" s="426"/>
    </row>
    <row r="499" spans="4:7" ht="15" customHeight="1" x14ac:dyDescent="0.3">
      <c r="D499" s="426"/>
      <c r="E499" s="426"/>
      <c r="F499" s="426"/>
      <c r="G499" s="426"/>
    </row>
    <row r="500" spans="4:7" ht="15" customHeight="1" x14ac:dyDescent="0.3">
      <c r="D500" s="426"/>
      <c r="E500" s="426"/>
      <c r="F500" s="426"/>
      <c r="G500" s="426"/>
    </row>
    <row r="501" spans="4:7" ht="15" customHeight="1" x14ac:dyDescent="0.3">
      <c r="D501" s="426"/>
      <c r="E501" s="426"/>
      <c r="F501" s="426"/>
      <c r="G501" s="426"/>
    </row>
    <row r="502" spans="4:7" ht="15" customHeight="1" x14ac:dyDescent="0.3">
      <c r="D502" s="426"/>
      <c r="E502" s="426"/>
      <c r="F502" s="426"/>
      <c r="G502" s="426"/>
    </row>
    <row r="503" spans="4:7" ht="15" customHeight="1" x14ac:dyDescent="0.3">
      <c r="D503" s="426"/>
      <c r="E503" s="426"/>
      <c r="F503" s="426"/>
      <c r="G503" s="426"/>
    </row>
    <row r="504" spans="4:7" ht="15" customHeight="1" x14ac:dyDescent="0.3">
      <c r="D504" s="426"/>
      <c r="E504" s="426"/>
      <c r="F504" s="426"/>
      <c r="G504" s="426"/>
    </row>
    <row r="505" spans="4:7" ht="15" customHeight="1" x14ac:dyDescent="0.3">
      <c r="D505" s="426"/>
      <c r="E505" s="426"/>
      <c r="F505" s="426"/>
      <c r="G505" s="426"/>
    </row>
    <row r="506" spans="4:7" ht="15" customHeight="1" x14ac:dyDescent="0.3">
      <c r="D506" s="426"/>
      <c r="E506" s="426"/>
      <c r="F506" s="426"/>
      <c r="G506" s="426"/>
    </row>
    <row r="507" spans="4:7" ht="15" customHeight="1" x14ac:dyDescent="0.3">
      <c r="D507" s="426"/>
      <c r="E507" s="426"/>
      <c r="F507" s="426"/>
      <c r="G507" s="426"/>
    </row>
    <row r="508" spans="4:7" ht="15" customHeight="1" x14ac:dyDescent="0.3">
      <c r="D508" s="426"/>
      <c r="E508" s="426"/>
      <c r="F508" s="426"/>
      <c r="G508" s="426"/>
    </row>
    <row r="509" spans="4:7" ht="15" customHeight="1" x14ac:dyDescent="0.3">
      <c r="D509" s="426"/>
      <c r="E509" s="426"/>
      <c r="F509" s="426"/>
      <c r="G509" s="426"/>
    </row>
    <row r="510" spans="4:7" ht="15" customHeight="1" x14ac:dyDescent="0.3">
      <c r="D510" s="426"/>
      <c r="E510" s="426"/>
      <c r="F510" s="426"/>
      <c r="G510" s="426"/>
    </row>
    <row r="511" spans="4:7" ht="15" customHeight="1" x14ac:dyDescent="0.3">
      <c r="D511" s="426"/>
      <c r="E511" s="426"/>
      <c r="F511" s="426"/>
      <c r="G511" s="426"/>
    </row>
  </sheetData>
  <mergeCells count="2">
    <mergeCell ref="F2:G2"/>
    <mergeCell ref="J11:O23"/>
  </mergeCells>
  <conditionalFormatting sqref="C47:C131 C141:C399 C400:G511">
    <cfRule type="expression" dxfId="4" priority="6">
      <formula>C47&lt;&gt;""</formula>
    </cfRule>
  </conditionalFormatting>
  <conditionalFormatting sqref="C132:C140">
    <cfRule type="expression" dxfId="3" priority="3">
      <formula>C132&lt;&gt;""</formula>
    </cfRule>
  </conditionalFormatting>
  <conditionalFormatting sqref="C12:G12">
    <cfRule type="expression" dxfId="2" priority="4">
      <formula>$C$12=0</formula>
    </cfRule>
  </conditionalFormatting>
  <conditionalFormatting sqref="C12:G399">
    <cfRule type="expression" dxfId="1" priority="5">
      <formula>ROW()&lt;COUNTIF($C:$C,"&gt;0")+14</formula>
    </cfRule>
  </conditionalFormatting>
  <conditionalFormatting sqref="H13:H32">
    <cfRule type="expression" dxfId="0" priority="2">
      <formula>ROW()&lt;COUNTIF($C:$C,"&gt;0")+14</formula>
    </cfRule>
  </conditionalFormatting>
  <dataValidations count="1">
    <dataValidation type="list" allowBlank="1" showInputMessage="1" showErrorMessage="1" sqref="D5" xr:uid="{00000000-0002-0000-0600-000000000000}">
      <formula1>periodos</formula1>
      <formula2>0</formula2>
    </dataValidation>
  </dataValidations>
  <pageMargins left="0.7" right="0.7" top="0.75" bottom="0.75" header="0.511811023622047" footer="0.511811023622047"/>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CY37"/>
  <sheetViews>
    <sheetView showGridLines="0" topLeftCell="A8" zoomScale="80" zoomScaleNormal="80" workbookViewId="0">
      <selection activeCell="C31" sqref="C31"/>
    </sheetView>
  </sheetViews>
  <sheetFormatPr defaultColWidth="20.5546875" defaultRowHeight="13.2" outlineLevelRow="1" x14ac:dyDescent="0.3"/>
  <cols>
    <col min="1" max="1" width="2.109375" style="187" customWidth="1"/>
    <col min="2" max="2" width="29.44140625" style="188" customWidth="1"/>
    <col min="3" max="22" width="18.5546875" style="188" customWidth="1"/>
    <col min="23" max="103" width="20.5546875" style="187" customWidth="1"/>
    <col min="104" max="104" width="20.5546875" style="188" customWidth="1"/>
    <col min="105" max="16384" width="20.5546875" style="188"/>
  </cols>
  <sheetData>
    <row r="2" spans="2:22" s="187" customFormat="1" ht="15.75" customHeight="1" x14ac:dyDescent="0.3">
      <c r="B2" s="189"/>
      <c r="C2" s="189"/>
      <c r="D2" s="189"/>
      <c r="E2" s="189"/>
      <c r="F2" s="189"/>
      <c r="G2" s="189"/>
      <c r="H2" s="189"/>
      <c r="I2" s="189"/>
      <c r="J2" s="189"/>
      <c r="K2" s="189"/>
      <c r="L2" s="189"/>
      <c r="M2" s="189"/>
      <c r="N2" s="189"/>
      <c r="O2" s="189"/>
      <c r="P2" s="189"/>
      <c r="Q2" s="189"/>
      <c r="R2" s="189"/>
      <c r="S2" s="189"/>
      <c r="T2" s="189"/>
      <c r="U2" s="189"/>
      <c r="V2" s="189"/>
    </row>
    <row r="3" spans="2:22" ht="15.75" customHeight="1" x14ac:dyDescent="0.3">
      <c r="B3" s="6" t="str">
        <f>+CAPEX!B2</f>
        <v>1 de junio 2026</v>
      </c>
      <c r="C3" s="322">
        <f>+FLUJO!C4</f>
        <v>2027</v>
      </c>
      <c r="D3" s="322">
        <f>+FLUJO!D4</f>
        <v>2028</v>
      </c>
      <c r="E3" s="322">
        <f>+FLUJO!E4</f>
        <v>2029</v>
      </c>
      <c r="F3" s="322">
        <f>+FLUJO!F4</f>
        <v>2030</v>
      </c>
      <c r="G3" s="322">
        <f>+FLUJO!G4</f>
        <v>2031</v>
      </c>
      <c r="H3" s="322">
        <f>+FLUJO!H4</f>
        <v>2032</v>
      </c>
      <c r="I3" s="322">
        <f>+FLUJO!I4</f>
        <v>2033</v>
      </c>
      <c r="J3" s="322">
        <f>+FLUJO!J4</f>
        <v>2034</v>
      </c>
      <c r="K3" s="322">
        <f>+FLUJO!K4</f>
        <v>2035</v>
      </c>
      <c r="L3" s="322">
        <f>+FLUJO!L4</f>
        <v>2036</v>
      </c>
      <c r="M3" s="322">
        <f>+FLUJO!M4</f>
        <v>2037</v>
      </c>
      <c r="N3" s="322">
        <f>+FLUJO!N4</f>
        <v>2038</v>
      </c>
      <c r="O3" s="322">
        <f>+FLUJO!O4</f>
        <v>2039</v>
      </c>
      <c r="P3" s="322">
        <f>+FLUJO!P4</f>
        <v>2040</v>
      </c>
      <c r="Q3" s="322">
        <f>+FLUJO!Q4</f>
        <v>2041</v>
      </c>
      <c r="R3" s="322">
        <f>+FLUJO!R4</f>
        <v>2042</v>
      </c>
      <c r="S3" s="322">
        <f>+FLUJO!S4</f>
        <v>2043</v>
      </c>
      <c r="T3" s="322">
        <f>+FLUJO!T4</f>
        <v>2044</v>
      </c>
      <c r="U3" s="322">
        <f>+FLUJO!U4</f>
        <v>2045</v>
      </c>
      <c r="V3" s="322">
        <f>+FLUJO!V4</f>
        <v>2046</v>
      </c>
    </row>
    <row r="4" spans="2:22" ht="14.25" customHeight="1" x14ac:dyDescent="0.25">
      <c r="B4" s="6" t="str">
        <f>+CONTROL!B2</f>
        <v>TIR Nominal (con IVA)</v>
      </c>
      <c r="C4" s="193">
        <f>+FLUJO!C5</f>
        <v>46388</v>
      </c>
      <c r="D4" s="193">
        <f>+FLUJO!D5</f>
        <v>46753</v>
      </c>
      <c r="E4" s="195">
        <f>+FLUJO!E5</f>
        <v>47119</v>
      </c>
      <c r="F4" s="195">
        <f>+FLUJO!F5</f>
        <v>47484</v>
      </c>
      <c r="G4" s="195">
        <f>+FLUJO!G5</f>
        <v>47849</v>
      </c>
      <c r="H4" s="195">
        <f>+FLUJO!H5</f>
        <v>48214</v>
      </c>
      <c r="I4" s="195">
        <f>+FLUJO!I5</f>
        <v>48580</v>
      </c>
      <c r="J4" s="195">
        <f>+FLUJO!J5</f>
        <v>48945</v>
      </c>
      <c r="K4" s="195">
        <f>+FLUJO!K5</f>
        <v>49310</v>
      </c>
      <c r="L4" s="195">
        <f>+FLUJO!L5</f>
        <v>49675</v>
      </c>
      <c r="M4" s="195">
        <f>+FLUJO!M5</f>
        <v>50041</v>
      </c>
      <c r="N4" s="195">
        <f>+FLUJO!N5</f>
        <v>50406</v>
      </c>
      <c r="O4" s="195">
        <f>+FLUJO!O5</f>
        <v>50771</v>
      </c>
      <c r="P4" s="195">
        <f>+FLUJO!P5</f>
        <v>51136</v>
      </c>
      <c r="Q4" s="195">
        <f>+FLUJO!Q5</f>
        <v>51502</v>
      </c>
      <c r="R4" s="195">
        <f>+FLUJO!R5</f>
        <v>51867</v>
      </c>
      <c r="S4" s="195">
        <f>+FLUJO!S5</f>
        <v>52232</v>
      </c>
      <c r="T4" s="195">
        <f>+FLUJO!T5</f>
        <v>52597</v>
      </c>
      <c r="U4" s="195">
        <f>+FLUJO!U5</f>
        <v>52963</v>
      </c>
      <c r="V4" s="195">
        <f>+FLUJO!V5</f>
        <v>53328</v>
      </c>
    </row>
    <row r="5" spans="2:22" ht="15" customHeight="1" x14ac:dyDescent="0.25">
      <c r="B5" s="4">
        <f>+CONTROL!C2</f>
        <v>2.2128474741156055</v>
      </c>
      <c r="C5" s="195">
        <f>+FLUJO!C6</f>
        <v>46752</v>
      </c>
      <c r="D5" s="195">
        <f>+FLUJO!D6</f>
        <v>47118</v>
      </c>
      <c r="E5" s="195">
        <f>+FLUJO!E6</f>
        <v>47483</v>
      </c>
      <c r="F5" s="195">
        <f>+FLUJO!F6</f>
        <v>47848</v>
      </c>
      <c r="G5" s="195">
        <f>+FLUJO!G6</f>
        <v>48213</v>
      </c>
      <c r="H5" s="195">
        <f>+FLUJO!H6</f>
        <v>48579</v>
      </c>
      <c r="I5" s="195">
        <f>+FLUJO!I6</f>
        <v>48944</v>
      </c>
      <c r="J5" s="195">
        <f>+FLUJO!J6</f>
        <v>49309</v>
      </c>
      <c r="K5" s="195">
        <f>+FLUJO!K6</f>
        <v>49674</v>
      </c>
      <c r="L5" s="195">
        <f>+FLUJO!L6</f>
        <v>50040</v>
      </c>
      <c r="M5" s="195">
        <f>+FLUJO!M6</f>
        <v>50405</v>
      </c>
      <c r="N5" s="195">
        <f>+FLUJO!N6</f>
        <v>50770</v>
      </c>
      <c r="O5" s="195">
        <f>+FLUJO!O6</f>
        <v>51135</v>
      </c>
      <c r="P5" s="195">
        <f>+FLUJO!P6</f>
        <v>51501</v>
      </c>
      <c r="Q5" s="195">
        <f>+FLUJO!Q6</f>
        <v>51866</v>
      </c>
      <c r="R5" s="195">
        <f>+FLUJO!R6</f>
        <v>52231</v>
      </c>
      <c r="S5" s="195">
        <f>+FLUJO!S6</f>
        <v>52596</v>
      </c>
      <c r="T5" s="195">
        <f>+FLUJO!T6</f>
        <v>52962</v>
      </c>
      <c r="U5" s="195">
        <f>+FLUJO!U6</f>
        <v>53327</v>
      </c>
      <c r="V5" s="195">
        <f>+FLUJO!V6</f>
        <v>53692</v>
      </c>
    </row>
    <row r="6" spans="2:22" s="187" customFormat="1" ht="15" customHeight="1" x14ac:dyDescent="0.25">
      <c r="B6" s="196"/>
      <c r="C6" s="197"/>
      <c r="D6" s="197"/>
      <c r="E6" s="197"/>
      <c r="F6" s="197"/>
      <c r="G6" s="197"/>
      <c r="H6" s="197"/>
      <c r="I6" s="197"/>
      <c r="J6" s="197"/>
      <c r="K6" s="197"/>
      <c r="L6" s="197"/>
      <c r="M6" s="197"/>
      <c r="N6" s="197"/>
      <c r="O6" s="197"/>
      <c r="P6" s="197"/>
      <c r="Q6" s="197"/>
      <c r="R6" s="197"/>
      <c r="S6" s="197"/>
      <c r="T6" s="197"/>
      <c r="U6" s="197"/>
      <c r="V6" s="197"/>
    </row>
    <row r="7" spans="2:22" s="187" customFormat="1" ht="14.25" customHeight="1" x14ac:dyDescent="0.25">
      <c r="B7" s="3" t="s">
        <v>98</v>
      </c>
      <c r="C7" s="203">
        <f>+FLUJO!C8</f>
        <v>1</v>
      </c>
      <c r="D7" s="203">
        <f>+FLUJO!D8</f>
        <v>2</v>
      </c>
      <c r="E7" s="203">
        <f>+FLUJO!E8</f>
        <v>3</v>
      </c>
      <c r="F7" s="203">
        <f>+FLUJO!F8</f>
        <v>4</v>
      </c>
      <c r="G7" s="203">
        <f>+FLUJO!G8</f>
        <v>5</v>
      </c>
      <c r="H7" s="203">
        <f>+FLUJO!H8</f>
        <v>6</v>
      </c>
      <c r="I7" s="203">
        <f>+FLUJO!I8</f>
        <v>7</v>
      </c>
      <c r="J7" s="203">
        <f>+FLUJO!J8</f>
        <v>8</v>
      </c>
      <c r="K7" s="203">
        <f>+FLUJO!K8</f>
        <v>9</v>
      </c>
      <c r="L7" s="203">
        <f>+FLUJO!L8</f>
        <v>10</v>
      </c>
      <c r="M7" s="203">
        <f>+FLUJO!M8</f>
        <v>11</v>
      </c>
      <c r="N7" s="203">
        <f>+FLUJO!N8</f>
        <v>12</v>
      </c>
      <c r="O7" s="203">
        <f>+FLUJO!O8</f>
        <v>13</v>
      </c>
      <c r="P7" s="203">
        <f>+FLUJO!P8</f>
        <v>14</v>
      </c>
      <c r="Q7" s="203">
        <f>+FLUJO!Q8</f>
        <v>15</v>
      </c>
      <c r="R7" s="203">
        <f>+FLUJO!R8</f>
        <v>16</v>
      </c>
      <c r="S7" s="203">
        <f>+FLUJO!S8</f>
        <v>17</v>
      </c>
      <c r="T7" s="203">
        <f>+FLUJO!T8</f>
        <v>18</v>
      </c>
      <c r="U7" s="203">
        <f>+FLUJO!U8</f>
        <v>19</v>
      </c>
      <c r="V7" s="203">
        <f>+FLUJO!V8</f>
        <v>20</v>
      </c>
    </row>
    <row r="8" spans="2:22" s="187" customFormat="1" ht="12.75" customHeight="1" outlineLevel="1" x14ac:dyDescent="0.25">
      <c r="B8" s="7" t="s">
        <v>99</v>
      </c>
      <c r="C8" s="203">
        <f>+FLUJO!C9</f>
        <v>365</v>
      </c>
      <c r="D8" s="203">
        <f>+FLUJO!D9</f>
        <v>366</v>
      </c>
      <c r="E8" s="203">
        <f>+FLUJO!E9</f>
        <v>365</v>
      </c>
      <c r="F8" s="203">
        <f>+FLUJO!F9</f>
        <v>365</v>
      </c>
      <c r="G8" s="203">
        <f>+FLUJO!G9</f>
        <v>365</v>
      </c>
      <c r="H8" s="203">
        <f>+FLUJO!H9</f>
        <v>366</v>
      </c>
      <c r="I8" s="203">
        <f>+FLUJO!I9</f>
        <v>365</v>
      </c>
      <c r="J8" s="203">
        <f>+FLUJO!J9</f>
        <v>365</v>
      </c>
      <c r="K8" s="203">
        <f>+FLUJO!K9</f>
        <v>365</v>
      </c>
      <c r="L8" s="203">
        <f>+FLUJO!L9</f>
        <v>366</v>
      </c>
      <c r="M8" s="203">
        <f>+FLUJO!M9</f>
        <v>365</v>
      </c>
      <c r="N8" s="203">
        <f>+FLUJO!N9</f>
        <v>365</v>
      </c>
      <c r="O8" s="203">
        <f>+FLUJO!O9</f>
        <v>365</v>
      </c>
      <c r="P8" s="203">
        <f>+FLUJO!P9</f>
        <v>366</v>
      </c>
      <c r="Q8" s="203">
        <f>+FLUJO!Q9</f>
        <v>365</v>
      </c>
      <c r="R8" s="203">
        <f>+FLUJO!R9</f>
        <v>365</v>
      </c>
      <c r="S8" s="203">
        <f>+FLUJO!S9</f>
        <v>365</v>
      </c>
      <c r="T8" s="203">
        <f>+FLUJO!T9</f>
        <v>366</v>
      </c>
      <c r="U8" s="203">
        <f>+FLUJO!U9</f>
        <v>365</v>
      </c>
      <c r="V8" s="203">
        <f>+FLUJO!V9</f>
        <v>365</v>
      </c>
    </row>
    <row r="9" spans="2:22" s="187" customFormat="1" ht="12.75" customHeight="1" outlineLevel="1" x14ac:dyDescent="0.25">
      <c r="B9" s="2" t="s">
        <v>100</v>
      </c>
      <c r="C9" s="203">
        <f>+FLUJO!C10</f>
        <v>365</v>
      </c>
      <c r="D9" s="203">
        <f>+FLUJO!D10</f>
        <v>366</v>
      </c>
      <c r="E9" s="203">
        <f>+FLUJO!E10</f>
        <v>365</v>
      </c>
      <c r="F9" s="203">
        <f>+FLUJO!F10</f>
        <v>365</v>
      </c>
      <c r="G9" s="203">
        <f>+FLUJO!G10</f>
        <v>365</v>
      </c>
      <c r="H9" s="203">
        <f>+FLUJO!H10</f>
        <v>366</v>
      </c>
      <c r="I9" s="203">
        <f>+FLUJO!I10</f>
        <v>365</v>
      </c>
      <c r="J9" s="203">
        <f>+FLUJO!J10</f>
        <v>365</v>
      </c>
      <c r="K9" s="203">
        <f>+FLUJO!K10</f>
        <v>365</v>
      </c>
      <c r="L9" s="203">
        <f>+FLUJO!L10</f>
        <v>366</v>
      </c>
      <c r="M9" s="203">
        <f>+FLUJO!M10</f>
        <v>365</v>
      </c>
      <c r="N9" s="203">
        <f>+FLUJO!N10</f>
        <v>365</v>
      </c>
      <c r="O9" s="203">
        <f>+FLUJO!O10</f>
        <v>365</v>
      </c>
      <c r="P9" s="203">
        <f>+FLUJO!P10</f>
        <v>366</v>
      </c>
      <c r="Q9" s="203">
        <f>+FLUJO!Q10</f>
        <v>365</v>
      </c>
      <c r="R9" s="203">
        <f>+FLUJO!R10</f>
        <v>365</v>
      </c>
      <c r="S9" s="203">
        <f>+FLUJO!S10</f>
        <v>365</v>
      </c>
      <c r="T9" s="203">
        <f>+FLUJO!T10</f>
        <v>366</v>
      </c>
      <c r="U9" s="203">
        <f>+FLUJO!U10</f>
        <v>365</v>
      </c>
      <c r="V9" s="203">
        <f>+FLUJO!V10</f>
        <v>365</v>
      </c>
    </row>
    <row r="10" spans="2:22" s="187" customFormat="1" ht="12.75" customHeight="1" outlineLevel="1" x14ac:dyDescent="0.25">
      <c r="B10" s="2" t="s">
        <v>101</v>
      </c>
      <c r="C10" s="203">
        <f>+FLUJO!C11</f>
        <v>365</v>
      </c>
      <c r="D10" s="203">
        <f>+FLUJO!D11</f>
        <v>366</v>
      </c>
      <c r="E10" s="203">
        <f>+FLUJO!E11</f>
        <v>365</v>
      </c>
      <c r="F10" s="203">
        <f>+FLUJO!F11</f>
        <v>365</v>
      </c>
      <c r="G10" s="203">
        <f>+FLUJO!G11</f>
        <v>365</v>
      </c>
      <c r="H10" s="203">
        <f>+FLUJO!H11</f>
        <v>366</v>
      </c>
      <c r="I10" s="203">
        <f>+FLUJO!I11</f>
        <v>365</v>
      </c>
      <c r="J10" s="203">
        <f>+FLUJO!J11</f>
        <v>365</v>
      </c>
      <c r="K10" s="203">
        <f>+FLUJO!K11</f>
        <v>365</v>
      </c>
      <c r="L10" s="203">
        <f>+FLUJO!L11</f>
        <v>366</v>
      </c>
      <c r="M10" s="203">
        <f>+FLUJO!M11</f>
        <v>365</v>
      </c>
      <c r="N10" s="203">
        <f>+FLUJO!N11</f>
        <v>365</v>
      </c>
      <c r="O10" s="203">
        <f>+FLUJO!O11</f>
        <v>365</v>
      </c>
      <c r="P10" s="203">
        <f>+FLUJO!P11</f>
        <v>366</v>
      </c>
      <c r="Q10" s="203">
        <f>+FLUJO!Q11</f>
        <v>365</v>
      </c>
      <c r="R10" s="203">
        <f>+FLUJO!R11</f>
        <v>365</v>
      </c>
      <c r="S10" s="203">
        <f>+FLUJO!S11</f>
        <v>365</v>
      </c>
      <c r="T10" s="203">
        <f>+FLUJO!T11</f>
        <v>366</v>
      </c>
      <c r="U10" s="203">
        <f>+FLUJO!U11</f>
        <v>365</v>
      </c>
      <c r="V10" s="203">
        <f>+FLUJO!V11</f>
        <v>365</v>
      </c>
    </row>
    <row r="11" spans="2:22" s="187" customFormat="1" ht="12.75" customHeight="1" outlineLevel="1" x14ac:dyDescent="0.25">
      <c r="B11" s="2" t="s">
        <v>102</v>
      </c>
      <c r="C11" s="93">
        <f>+C12</f>
        <v>1</v>
      </c>
      <c r="D11" s="93">
        <v>1</v>
      </c>
      <c r="E11" s="93">
        <v>1</v>
      </c>
      <c r="F11" s="93">
        <v>1</v>
      </c>
      <c r="G11" s="93">
        <v>1</v>
      </c>
      <c r="H11" s="93">
        <v>1</v>
      </c>
      <c r="I11" s="93">
        <v>1</v>
      </c>
      <c r="J11" s="93">
        <v>1</v>
      </c>
      <c r="K11" s="93">
        <v>1</v>
      </c>
      <c r="L11" s="93">
        <v>1</v>
      </c>
      <c r="M11" s="93">
        <v>1</v>
      </c>
      <c r="N11" s="93">
        <v>1</v>
      </c>
      <c r="O11" s="93">
        <v>1</v>
      </c>
      <c r="P11" s="93">
        <v>1</v>
      </c>
      <c r="Q11" s="93">
        <v>1</v>
      </c>
      <c r="R11" s="93">
        <v>1</v>
      </c>
      <c r="S11" s="93">
        <v>1</v>
      </c>
      <c r="T11" s="93">
        <v>1</v>
      </c>
      <c r="U11" s="93">
        <v>1</v>
      </c>
      <c r="V11" s="93">
        <v>1</v>
      </c>
    </row>
    <row r="12" spans="2:22" s="187" customFormat="1" ht="12.75" customHeight="1" outlineLevel="1" x14ac:dyDescent="0.25">
      <c r="B12" s="1" t="s">
        <v>103</v>
      </c>
      <c r="C12" s="93">
        <v>1</v>
      </c>
      <c r="D12" s="93">
        <v>1</v>
      </c>
      <c r="E12" s="93">
        <v>1</v>
      </c>
      <c r="F12" s="93">
        <v>1</v>
      </c>
      <c r="G12" s="93">
        <v>1</v>
      </c>
      <c r="H12" s="93">
        <f t="shared" ref="H12:V12" si="0">+G12</f>
        <v>1</v>
      </c>
      <c r="I12" s="93">
        <f t="shared" si="0"/>
        <v>1</v>
      </c>
      <c r="J12" s="93">
        <f t="shared" si="0"/>
        <v>1</v>
      </c>
      <c r="K12" s="93">
        <f t="shared" si="0"/>
        <v>1</v>
      </c>
      <c r="L12" s="93">
        <f t="shared" si="0"/>
        <v>1</v>
      </c>
      <c r="M12" s="93">
        <f t="shared" si="0"/>
        <v>1</v>
      </c>
      <c r="N12" s="93">
        <f t="shared" si="0"/>
        <v>1</v>
      </c>
      <c r="O12" s="93">
        <f t="shared" si="0"/>
        <v>1</v>
      </c>
      <c r="P12" s="93">
        <f t="shared" si="0"/>
        <v>1</v>
      </c>
      <c r="Q12" s="93">
        <f t="shared" si="0"/>
        <v>1</v>
      </c>
      <c r="R12" s="93">
        <f t="shared" si="0"/>
        <v>1</v>
      </c>
      <c r="S12" s="93">
        <f t="shared" si="0"/>
        <v>1</v>
      </c>
      <c r="T12" s="93">
        <f t="shared" si="0"/>
        <v>1</v>
      </c>
      <c r="U12" s="93">
        <f t="shared" si="0"/>
        <v>1</v>
      </c>
      <c r="V12" s="93">
        <f t="shared" si="0"/>
        <v>1</v>
      </c>
    </row>
    <row r="13" spans="2:22" s="187" customFormat="1" ht="12.75" customHeight="1" outlineLevel="1" x14ac:dyDescent="0.25">
      <c r="B13" s="1" t="s">
        <v>243</v>
      </c>
      <c r="C13" s="93">
        <v>1</v>
      </c>
      <c r="D13" s="93">
        <v>1</v>
      </c>
      <c r="E13" s="93">
        <v>1</v>
      </c>
      <c r="F13" s="93">
        <v>1</v>
      </c>
      <c r="G13" s="93">
        <v>1</v>
      </c>
      <c r="H13" s="93">
        <f t="shared" ref="H13:V13" si="1">+G13</f>
        <v>1</v>
      </c>
      <c r="I13" s="93">
        <f t="shared" si="1"/>
        <v>1</v>
      </c>
      <c r="J13" s="93">
        <f t="shared" si="1"/>
        <v>1</v>
      </c>
      <c r="K13" s="93">
        <f t="shared" si="1"/>
        <v>1</v>
      </c>
      <c r="L13" s="93">
        <f t="shared" si="1"/>
        <v>1</v>
      </c>
      <c r="M13" s="93">
        <f t="shared" si="1"/>
        <v>1</v>
      </c>
      <c r="N13" s="93">
        <f t="shared" si="1"/>
        <v>1</v>
      </c>
      <c r="O13" s="93">
        <f t="shared" si="1"/>
        <v>1</v>
      </c>
      <c r="P13" s="93">
        <f t="shared" si="1"/>
        <v>1</v>
      </c>
      <c r="Q13" s="93">
        <f t="shared" si="1"/>
        <v>1</v>
      </c>
      <c r="R13" s="93">
        <f t="shared" si="1"/>
        <v>1</v>
      </c>
      <c r="S13" s="93">
        <f t="shared" si="1"/>
        <v>1</v>
      </c>
      <c r="T13" s="93">
        <f t="shared" si="1"/>
        <v>1</v>
      </c>
      <c r="U13" s="93">
        <f t="shared" si="1"/>
        <v>1</v>
      </c>
      <c r="V13" s="93">
        <f t="shared" si="1"/>
        <v>1</v>
      </c>
    </row>
    <row r="14" spans="2:22" s="187" customFormat="1" ht="12.75" customHeight="1" outlineLevel="1" x14ac:dyDescent="0.25">
      <c r="B14" s="1" t="s">
        <v>244</v>
      </c>
      <c r="C14" s="93">
        <v>1</v>
      </c>
      <c r="D14" s="93">
        <v>1</v>
      </c>
      <c r="E14" s="93">
        <v>1</v>
      </c>
      <c r="F14" s="93">
        <v>1</v>
      </c>
      <c r="G14" s="93">
        <v>1</v>
      </c>
      <c r="H14" s="93">
        <v>1</v>
      </c>
      <c r="I14" s="93">
        <v>1</v>
      </c>
      <c r="J14" s="93">
        <v>1</v>
      </c>
      <c r="K14" s="93">
        <v>1</v>
      </c>
      <c r="L14" s="93">
        <v>1</v>
      </c>
      <c r="M14" s="93">
        <v>1</v>
      </c>
      <c r="N14" s="93">
        <v>1</v>
      </c>
      <c r="O14" s="93">
        <v>1</v>
      </c>
      <c r="P14" s="93">
        <v>1</v>
      </c>
      <c r="Q14" s="93">
        <v>1</v>
      </c>
      <c r="R14" s="93">
        <v>1</v>
      </c>
      <c r="S14" s="93">
        <v>1</v>
      </c>
      <c r="T14" s="93">
        <v>1</v>
      </c>
      <c r="U14" s="93">
        <v>1</v>
      </c>
      <c r="V14" s="93">
        <v>1</v>
      </c>
    </row>
    <row r="15" spans="2:22" s="187" customFormat="1" ht="12.75" customHeight="1" outlineLevel="1" x14ac:dyDescent="0.25">
      <c r="B15" s="1" t="s">
        <v>245</v>
      </c>
      <c r="C15" s="93">
        <v>1</v>
      </c>
      <c r="D15" s="93">
        <v>1</v>
      </c>
      <c r="E15" s="93">
        <v>1</v>
      </c>
      <c r="F15" s="93">
        <v>1</v>
      </c>
      <c r="G15" s="93">
        <v>1</v>
      </c>
      <c r="H15" s="93">
        <v>1</v>
      </c>
      <c r="I15" s="93">
        <v>1</v>
      </c>
      <c r="J15" s="93">
        <v>1</v>
      </c>
      <c r="K15" s="93">
        <v>1</v>
      </c>
      <c r="L15" s="93">
        <v>1</v>
      </c>
      <c r="M15" s="93">
        <v>1</v>
      </c>
      <c r="N15" s="93">
        <v>1</v>
      </c>
      <c r="O15" s="93">
        <v>1</v>
      </c>
      <c r="P15" s="93">
        <v>1</v>
      </c>
      <c r="Q15" s="93">
        <v>1</v>
      </c>
      <c r="R15" s="93">
        <v>1</v>
      </c>
      <c r="S15" s="93">
        <v>1</v>
      </c>
      <c r="T15" s="93">
        <v>1</v>
      </c>
      <c r="U15" s="93">
        <v>1</v>
      </c>
      <c r="V15" s="93">
        <v>1</v>
      </c>
    </row>
    <row r="16" spans="2:22" s="187" customFormat="1" ht="13.5" customHeight="1" x14ac:dyDescent="0.25">
      <c r="C16" s="134"/>
      <c r="D16" s="134"/>
      <c r="E16" s="134"/>
      <c r="F16" s="134"/>
      <c r="G16" s="134"/>
      <c r="H16" s="134"/>
      <c r="I16" s="134"/>
      <c r="J16" s="134"/>
      <c r="K16" s="134"/>
      <c r="L16" s="134"/>
      <c r="M16" s="134"/>
      <c r="N16" s="134"/>
      <c r="O16" s="134"/>
      <c r="P16" s="134"/>
      <c r="Q16" s="134"/>
      <c r="R16" s="134"/>
      <c r="S16" s="134"/>
      <c r="T16" s="134"/>
      <c r="U16" s="134"/>
      <c r="V16" s="134"/>
    </row>
    <row r="17" spans="2:22" ht="16.5" customHeight="1" x14ac:dyDescent="0.3">
      <c r="B17" s="427" t="s">
        <v>246</v>
      </c>
      <c r="C17" s="428"/>
      <c r="D17" s="429"/>
      <c r="E17" s="429"/>
      <c r="F17" s="429"/>
      <c r="G17" s="429"/>
      <c r="H17" s="429"/>
      <c r="I17" s="429"/>
      <c r="J17" s="429"/>
      <c r="K17" s="429"/>
      <c r="L17" s="429"/>
      <c r="M17" s="429"/>
      <c r="N17" s="429"/>
      <c r="O17" s="429"/>
      <c r="P17" s="429"/>
      <c r="Q17" s="429"/>
      <c r="R17" s="429"/>
      <c r="S17" s="429"/>
      <c r="T17" s="429"/>
      <c r="U17" s="429"/>
      <c r="V17" s="430"/>
    </row>
    <row r="18" spans="2:22" ht="15" customHeight="1" x14ac:dyDescent="0.3">
      <c r="B18" s="217" t="s">
        <v>247</v>
      </c>
      <c r="C18" s="431">
        <v>1</v>
      </c>
      <c r="D18" s="432">
        <f t="shared" ref="D18:V18" si="2">+D11</f>
        <v>1</v>
      </c>
      <c r="E18" s="432">
        <f t="shared" si="2"/>
        <v>1</v>
      </c>
      <c r="F18" s="432">
        <f t="shared" si="2"/>
        <v>1</v>
      </c>
      <c r="G18" s="432">
        <f t="shared" si="2"/>
        <v>1</v>
      </c>
      <c r="H18" s="432">
        <f t="shared" si="2"/>
        <v>1</v>
      </c>
      <c r="I18" s="432">
        <f t="shared" si="2"/>
        <v>1</v>
      </c>
      <c r="J18" s="432">
        <f t="shared" si="2"/>
        <v>1</v>
      </c>
      <c r="K18" s="432">
        <f t="shared" si="2"/>
        <v>1</v>
      </c>
      <c r="L18" s="432">
        <f t="shared" si="2"/>
        <v>1</v>
      </c>
      <c r="M18" s="432">
        <f t="shared" si="2"/>
        <v>1</v>
      </c>
      <c r="N18" s="432">
        <f t="shared" si="2"/>
        <v>1</v>
      </c>
      <c r="O18" s="432">
        <f t="shared" si="2"/>
        <v>1</v>
      </c>
      <c r="P18" s="432">
        <f t="shared" si="2"/>
        <v>1</v>
      </c>
      <c r="Q18" s="432">
        <f t="shared" si="2"/>
        <v>1</v>
      </c>
      <c r="R18" s="432">
        <f t="shared" si="2"/>
        <v>1</v>
      </c>
      <c r="S18" s="432">
        <f t="shared" si="2"/>
        <v>1</v>
      </c>
      <c r="T18" s="432">
        <f t="shared" si="2"/>
        <v>1</v>
      </c>
      <c r="U18" s="433">
        <f t="shared" si="2"/>
        <v>1</v>
      </c>
      <c r="V18" s="433">
        <f t="shared" si="2"/>
        <v>1</v>
      </c>
    </row>
    <row r="19" spans="2:22" ht="15" customHeight="1" x14ac:dyDescent="0.3">
      <c r="B19" s="299" t="s">
        <v>248</v>
      </c>
      <c r="C19" s="434">
        <f>+C18</f>
        <v>1</v>
      </c>
      <c r="D19" s="435">
        <v>1</v>
      </c>
      <c r="E19" s="435">
        <v>1</v>
      </c>
      <c r="F19" s="435">
        <v>1</v>
      </c>
      <c r="G19" s="435">
        <v>1</v>
      </c>
      <c r="H19" s="435">
        <v>1</v>
      </c>
      <c r="I19" s="435">
        <f t="shared" ref="I19:V20" si="3">+I18</f>
        <v>1</v>
      </c>
      <c r="J19" s="435">
        <f t="shared" si="3"/>
        <v>1</v>
      </c>
      <c r="K19" s="435">
        <f t="shared" si="3"/>
        <v>1</v>
      </c>
      <c r="L19" s="435">
        <f t="shared" si="3"/>
        <v>1</v>
      </c>
      <c r="M19" s="435">
        <f t="shared" si="3"/>
        <v>1</v>
      </c>
      <c r="N19" s="435">
        <f t="shared" si="3"/>
        <v>1</v>
      </c>
      <c r="O19" s="435">
        <f t="shared" si="3"/>
        <v>1</v>
      </c>
      <c r="P19" s="435">
        <f t="shared" si="3"/>
        <v>1</v>
      </c>
      <c r="Q19" s="435">
        <f t="shared" si="3"/>
        <v>1</v>
      </c>
      <c r="R19" s="435">
        <f t="shared" si="3"/>
        <v>1</v>
      </c>
      <c r="S19" s="435">
        <f t="shared" si="3"/>
        <v>1</v>
      </c>
      <c r="T19" s="435">
        <f t="shared" si="3"/>
        <v>1</v>
      </c>
      <c r="U19" s="435">
        <f t="shared" si="3"/>
        <v>1</v>
      </c>
      <c r="V19" s="435">
        <f t="shared" si="3"/>
        <v>1</v>
      </c>
    </row>
    <row r="20" spans="2:22" ht="15" customHeight="1" x14ac:dyDescent="0.3">
      <c r="B20" s="217" t="s">
        <v>110</v>
      </c>
      <c r="C20" s="434">
        <f>+C19</f>
        <v>1</v>
      </c>
      <c r="D20" s="435">
        <v>1</v>
      </c>
      <c r="E20" s="435">
        <v>1</v>
      </c>
      <c r="F20" s="435">
        <v>1</v>
      </c>
      <c r="G20" s="435">
        <v>1</v>
      </c>
      <c r="H20" s="435">
        <v>1</v>
      </c>
      <c r="I20" s="435">
        <f t="shared" si="3"/>
        <v>1</v>
      </c>
      <c r="J20" s="435">
        <f t="shared" si="3"/>
        <v>1</v>
      </c>
      <c r="K20" s="435">
        <f t="shared" si="3"/>
        <v>1</v>
      </c>
      <c r="L20" s="435">
        <f t="shared" si="3"/>
        <v>1</v>
      </c>
      <c r="M20" s="435">
        <f t="shared" si="3"/>
        <v>1</v>
      </c>
      <c r="N20" s="435">
        <f t="shared" si="3"/>
        <v>1</v>
      </c>
      <c r="O20" s="435">
        <f t="shared" si="3"/>
        <v>1</v>
      </c>
      <c r="P20" s="435">
        <f t="shared" si="3"/>
        <v>1</v>
      </c>
      <c r="Q20" s="435">
        <f t="shared" si="3"/>
        <v>1</v>
      </c>
      <c r="R20" s="435">
        <f t="shared" si="3"/>
        <v>1</v>
      </c>
      <c r="S20" s="435">
        <f t="shared" si="3"/>
        <v>1</v>
      </c>
      <c r="T20" s="435">
        <f t="shared" si="3"/>
        <v>1</v>
      </c>
      <c r="U20" s="435">
        <f t="shared" si="3"/>
        <v>1</v>
      </c>
      <c r="V20" s="435">
        <f t="shared" si="3"/>
        <v>1</v>
      </c>
    </row>
    <row r="21" spans="2:22" ht="13.5" customHeight="1" x14ac:dyDescent="0.3">
      <c r="B21" s="231" t="s">
        <v>249</v>
      </c>
      <c r="C21" s="436">
        <v>1</v>
      </c>
      <c r="D21" s="437"/>
      <c r="E21" s="437"/>
      <c r="F21" s="437"/>
      <c r="G21" s="437"/>
      <c r="H21" s="437"/>
      <c r="I21" s="437"/>
      <c r="J21" s="437"/>
      <c r="K21" s="437"/>
      <c r="L21" s="437"/>
      <c r="M21" s="437"/>
      <c r="N21" s="437"/>
      <c r="O21" s="437"/>
      <c r="P21" s="437"/>
      <c r="Q21" s="437"/>
      <c r="R21" s="437"/>
      <c r="S21" s="437"/>
      <c r="T21" s="437"/>
      <c r="U21" s="437"/>
      <c r="V21" s="437"/>
    </row>
    <row r="22" spans="2:22" ht="14.25" customHeight="1" x14ac:dyDescent="0.3">
      <c r="C22" s="224"/>
      <c r="D22" s="224"/>
      <c r="E22" s="224"/>
      <c r="F22" s="224"/>
      <c r="G22" s="224"/>
      <c r="H22" s="224"/>
      <c r="I22" s="224"/>
      <c r="J22" s="224"/>
      <c r="K22" s="224"/>
      <c r="L22" s="224"/>
      <c r="M22" s="224"/>
      <c r="N22" s="224"/>
      <c r="O22" s="224"/>
      <c r="P22" s="224"/>
      <c r="Q22" s="224"/>
      <c r="R22" s="224"/>
      <c r="S22" s="224"/>
      <c r="T22" s="224"/>
      <c r="U22" s="224"/>
      <c r="V22" s="224"/>
    </row>
    <row r="23" spans="2:22" ht="16.5" customHeight="1" x14ac:dyDescent="0.3">
      <c r="B23" s="208" t="s">
        <v>250</v>
      </c>
      <c r="C23" s="226"/>
      <c r="D23" s="227"/>
      <c r="E23" s="227"/>
      <c r="F23" s="227"/>
      <c r="G23" s="227"/>
      <c r="H23" s="227"/>
      <c r="I23" s="227"/>
      <c r="J23" s="227"/>
      <c r="K23" s="227"/>
      <c r="L23" s="227"/>
      <c r="M23" s="227"/>
      <c r="N23" s="227"/>
      <c r="O23" s="227"/>
      <c r="P23" s="227"/>
      <c r="Q23" s="227"/>
      <c r="R23" s="227"/>
      <c r="S23" s="227"/>
      <c r="T23" s="227"/>
      <c r="U23" s="227"/>
      <c r="V23" s="227"/>
    </row>
    <row r="24" spans="2:22" ht="13.5" customHeight="1" x14ac:dyDescent="0.3">
      <c r="B24" s="229" t="s">
        <v>54</v>
      </c>
      <c r="C24" s="431">
        <v>1</v>
      </c>
      <c r="D24" s="432">
        <f t="shared" ref="D24:V24" si="4">+D12</f>
        <v>1</v>
      </c>
      <c r="E24" s="432">
        <f t="shared" si="4"/>
        <v>1</v>
      </c>
      <c r="F24" s="432">
        <f t="shared" si="4"/>
        <v>1</v>
      </c>
      <c r="G24" s="432">
        <f t="shared" si="4"/>
        <v>1</v>
      </c>
      <c r="H24" s="432">
        <f t="shared" si="4"/>
        <v>1</v>
      </c>
      <c r="I24" s="432">
        <f t="shared" si="4"/>
        <v>1</v>
      </c>
      <c r="J24" s="432">
        <f t="shared" si="4"/>
        <v>1</v>
      </c>
      <c r="K24" s="432">
        <f t="shared" si="4"/>
        <v>1</v>
      </c>
      <c r="L24" s="432">
        <f t="shared" si="4"/>
        <v>1</v>
      </c>
      <c r="M24" s="432">
        <f t="shared" si="4"/>
        <v>1</v>
      </c>
      <c r="N24" s="432">
        <f t="shared" si="4"/>
        <v>1</v>
      </c>
      <c r="O24" s="432">
        <f t="shared" si="4"/>
        <v>1</v>
      </c>
      <c r="P24" s="432">
        <f t="shared" si="4"/>
        <v>1</v>
      </c>
      <c r="Q24" s="432">
        <f t="shared" si="4"/>
        <v>1</v>
      </c>
      <c r="R24" s="432">
        <f t="shared" si="4"/>
        <v>1</v>
      </c>
      <c r="S24" s="432">
        <f t="shared" si="4"/>
        <v>1</v>
      </c>
      <c r="T24" s="432">
        <f t="shared" si="4"/>
        <v>1</v>
      </c>
      <c r="U24" s="432">
        <f t="shared" si="4"/>
        <v>1</v>
      </c>
      <c r="V24" s="432">
        <f t="shared" si="4"/>
        <v>1</v>
      </c>
    </row>
    <row r="25" spans="2:22" ht="12.75" customHeight="1" x14ac:dyDescent="0.3">
      <c r="B25" s="217" t="s">
        <v>57</v>
      </c>
      <c r="C25" s="434">
        <f t="shared" ref="C25:L27" si="5">+C24</f>
        <v>1</v>
      </c>
      <c r="D25" s="435">
        <f t="shared" si="5"/>
        <v>1</v>
      </c>
      <c r="E25" s="435">
        <f t="shared" si="5"/>
        <v>1</v>
      </c>
      <c r="F25" s="435">
        <f t="shared" si="5"/>
        <v>1</v>
      </c>
      <c r="G25" s="435">
        <f t="shared" si="5"/>
        <v>1</v>
      </c>
      <c r="H25" s="435">
        <f t="shared" si="5"/>
        <v>1</v>
      </c>
      <c r="I25" s="435">
        <f t="shared" si="5"/>
        <v>1</v>
      </c>
      <c r="J25" s="435">
        <f t="shared" si="5"/>
        <v>1</v>
      </c>
      <c r="K25" s="435">
        <f t="shared" si="5"/>
        <v>1</v>
      </c>
      <c r="L25" s="435">
        <f t="shared" si="5"/>
        <v>1</v>
      </c>
      <c r="M25" s="435">
        <f t="shared" ref="M25:V27" si="6">+M24</f>
        <v>1</v>
      </c>
      <c r="N25" s="435">
        <f t="shared" si="6"/>
        <v>1</v>
      </c>
      <c r="O25" s="435">
        <f t="shared" si="6"/>
        <v>1</v>
      </c>
      <c r="P25" s="435">
        <f t="shared" si="6"/>
        <v>1</v>
      </c>
      <c r="Q25" s="435">
        <f t="shared" si="6"/>
        <v>1</v>
      </c>
      <c r="R25" s="435">
        <f t="shared" si="6"/>
        <v>1</v>
      </c>
      <c r="S25" s="435">
        <f t="shared" si="6"/>
        <v>1</v>
      </c>
      <c r="T25" s="435">
        <f t="shared" si="6"/>
        <v>1</v>
      </c>
      <c r="U25" s="435">
        <f t="shared" si="6"/>
        <v>1</v>
      </c>
      <c r="V25" s="435">
        <f t="shared" si="6"/>
        <v>1</v>
      </c>
    </row>
    <row r="26" spans="2:22" s="5" customFormat="1" ht="12.75" customHeight="1" x14ac:dyDescent="0.3">
      <c r="B26" s="217" t="s">
        <v>58</v>
      </c>
      <c r="C26" s="434">
        <f t="shared" si="5"/>
        <v>1</v>
      </c>
      <c r="D26" s="435">
        <f t="shared" si="5"/>
        <v>1</v>
      </c>
      <c r="E26" s="435">
        <f t="shared" si="5"/>
        <v>1</v>
      </c>
      <c r="F26" s="435">
        <f t="shared" si="5"/>
        <v>1</v>
      </c>
      <c r="G26" s="435">
        <f t="shared" si="5"/>
        <v>1</v>
      </c>
      <c r="H26" s="435">
        <f t="shared" si="5"/>
        <v>1</v>
      </c>
      <c r="I26" s="435">
        <f t="shared" si="5"/>
        <v>1</v>
      </c>
      <c r="J26" s="435">
        <f t="shared" si="5"/>
        <v>1</v>
      </c>
      <c r="K26" s="435">
        <f t="shared" si="5"/>
        <v>1</v>
      </c>
      <c r="L26" s="435">
        <f t="shared" si="5"/>
        <v>1</v>
      </c>
      <c r="M26" s="435">
        <f t="shared" si="6"/>
        <v>1</v>
      </c>
      <c r="N26" s="435">
        <f t="shared" si="6"/>
        <v>1</v>
      </c>
      <c r="O26" s="435">
        <f t="shared" si="6"/>
        <v>1</v>
      </c>
      <c r="P26" s="435">
        <f t="shared" si="6"/>
        <v>1</v>
      </c>
      <c r="Q26" s="435">
        <f t="shared" si="6"/>
        <v>1</v>
      </c>
      <c r="R26" s="435">
        <f t="shared" si="6"/>
        <v>1</v>
      </c>
      <c r="S26" s="435">
        <f t="shared" si="6"/>
        <v>1</v>
      </c>
      <c r="T26" s="435">
        <f t="shared" si="6"/>
        <v>1</v>
      </c>
      <c r="U26" s="435">
        <f t="shared" si="6"/>
        <v>1</v>
      </c>
      <c r="V26" s="435">
        <f t="shared" si="6"/>
        <v>1</v>
      </c>
    </row>
    <row r="27" spans="2:22" s="187" customFormat="1" ht="12.75" customHeight="1" x14ac:dyDescent="0.3">
      <c r="B27" s="217" t="s">
        <v>59</v>
      </c>
      <c r="C27" s="434">
        <f t="shared" si="5"/>
        <v>1</v>
      </c>
      <c r="D27" s="435">
        <f t="shared" si="5"/>
        <v>1</v>
      </c>
      <c r="E27" s="435">
        <f t="shared" si="5"/>
        <v>1</v>
      </c>
      <c r="F27" s="435">
        <f t="shared" si="5"/>
        <v>1</v>
      </c>
      <c r="G27" s="435">
        <f t="shared" si="5"/>
        <v>1</v>
      </c>
      <c r="H27" s="435">
        <f t="shared" si="5"/>
        <v>1</v>
      </c>
      <c r="I27" s="435">
        <f t="shared" si="5"/>
        <v>1</v>
      </c>
      <c r="J27" s="435">
        <f t="shared" si="5"/>
        <v>1</v>
      </c>
      <c r="K27" s="435">
        <f t="shared" si="5"/>
        <v>1</v>
      </c>
      <c r="L27" s="435">
        <f t="shared" si="5"/>
        <v>1</v>
      </c>
      <c r="M27" s="435">
        <f t="shared" si="6"/>
        <v>1</v>
      </c>
      <c r="N27" s="435">
        <f t="shared" si="6"/>
        <v>1</v>
      </c>
      <c r="O27" s="435">
        <f t="shared" si="6"/>
        <v>1</v>
      </c>
      <c r="P27" s="435">
        <f t="shared" si="6"/>
        <v>1</v>
      </c>
      <c r="Q27" s="435">
        <f t="shared" si="6"/>
        <v>1</v>
      </c>
      <c r="R27" s="435">
        <f t="shared" si="6"/>
        <v>1</v>
      </c>
      <c r="S27" s="435">
        <f t="shared" si="6"/>
        <v>1</v>
      </c>
      <c r="T27" s="435">
        <f t="shared" si="6"/>
        <v>1</v>
      </c>
      <c r="U27" s="435">
        <f t="shared" si="6"/>
        <v>1</v>
      </c>
      <c r="V27" s="435">
        <f t="shared" si="6"/>
        <v>1</v>
      </c>
    </row>
    <row r="28" spans="2:22" s="187" customFormat="1" ht="15" customHeight="1" x14ac:dyDescent="0.3">
      <c r="B28" s="231" t="s">
        <v>114</v>
      </c>
      <c r="C28" s="436">
        <v>1</v>
      </c>
      <c r="D28" s="437">
        <f t="shared" ref="D28:V28" si="7">+D27</f>
        <v>1</v>
      </c>
      <c r="E28" s="437">
        <f t="shared" si="7"/>
        <v>1</v>
      </c>
      <c r="F28" s="437">
        <f t="shared" si="7"/>
        <v>1</v>
      </c>
      <c r="G28" s="437">
        <f t="shared" si="7"/>
        <v>1</v>
      </c>
      <c r="H28" s="437">
        <f t="shared" si="7"/>
        <v>1</v>
      </c>
      <c r="I28" s="437">
        <f t="shared" si="7"/>
        <v>1</v>
      </c>
      <c r="J28" s="437">
        <f t="shared" si="7"/>
        <v>1</v>
      </c>
      <c r="K28" s="437">
        <f t="shared" si="7"/>
        <v>1</v>
      </c>
      <c r="L28" s="437">
        <f t="shared" si="7"/>
        <v>1</v>
      </c>
      <c r="M28" s="437">
        <f t="shared" si="7"/>
        <v>1</v>
      </c>
      <c r="N28" s="437">
        <f t="shared" si="7"/>
        <v>1</v>
      </c>
      <c r="O28" s="437">
        <f t="shared" si="7"/>
        <v>1</v>
      </c>
      <c r="P28" s="437">
        <f t="shared" si="7"/>
        <v>1</v>
      </c>
      <c r="Q28" s="437">
        <f t="shared" si="7"/>
        <v>1</v>
      </c>
      <c r="R28" s="437">
        <f t="shared" si="7"/>
        <v>1</v>
      </c>
      <c r="S28" s="437">
        <f t="shared" si="7"/>
        <v>1</v>
      </c>
      <c r="T28" s="437">
        <f t="shared" si="7"/>
        <v>1</v>
      </c>
      <c r="U28" s="437">
        <f t="shared" si="7"/>
        <v>1</v>
      </c>
      <c r="V28" s="437">
        <f t="shared" si="7"/>
        <v>1</v>
      </c>
    </row>
    <row r="29" spans="2:22" s="5" customFormat="1" ht="14.25" customHeight="1" x14ac:dyDescent="0.3">
      <c r="B29" s="188"/>
      <c r="C29" s="224"/>
      <c r="D29" s="224"/>
      <c r="E29" s="224"/>
      <c r="F29" s="224"/>
      <c r="G29" s="224"/>
      <c r="H29" s="224"/>
      <c r="I29" s="224"/>
      <c r="J29" s="224"/>
      <c r="K29" s="224"/>
      <c r="L29" s="224"/>
      <c r="M29" s="224"/>
      <c r="N29" s="224"/>
      <c r="O29" s="224"/>
      <c r="P29" s="224"/>
      <c r="Q29" s="224"/>
      <c r="R29" s="224"/>
      <c r="S29" s="224"/>
      <c r="T29" s="224"/>
      <c r="U29" s="224"/>
      <c r="V29" s="224"/>
    </row>
    <row r="30" spans="2:22" s="187" customFormat="1" ht="16.5" customHeight="1" x14ac:dyDescent="0.3">
      <c r="B30" s="208" t="s">
        <v>117</v>
      </c>
      <c r="C30" s="226"/>
      <c r="D30" s="227"/>
      <c r="E30" s="227"/>
      <c r="F30" s="227"/>
      <c r="G30" s="227"/>
      <c r="H30" s="227"/>
      <c r="I30" s="227"/>
      <c r="J30" s="227"/>
      <c r="K30" s="227"/>
      <c r="L30" s="227"/>
      <c r="M30" s="227"/>
      <c r="N30" s="227"/>
      <c r="O30" s="227"/>
      <c r="P30" s="227"/>
      <c r="Q30" s="227"/>
      <c r="R30" s="227"/>
      <c r="S30" s="227"/>
      <c r="T30" s="227"/>
      <c r="U30" s="227"/>
      <c r="V30" s="227"/>
    </row>
    <row r="31" spans="2:22" s="187" customFormat="1" ht="13.5" customHeight="1" x14ac:dyDescent="0.3">
      <c r="B31" s="217" t="s">
        <v>118</v>
      </c>
      <c r="C31" s="438">
        <v>1</v>
      </c>
      <c r="D31" s="439">
        <f t="shared" ref="D31:V31" si="8">+D13</f>
        <v>1</v>
      </c>
      <c r="E31" s="439">
        <f t="shared" si="8"/>
        <v>1</v>
      </c>
      <c r="F31" s="439">
        <f t="shared" si="8"/>
        <v>1</v>
      </c>
      <c r="G31" s="439">
        <f t="shared" si="8"/>
        <v>1</v>
      </c>
      <c r="H31" s="439">
        <f t="shared" si="8"/>
        <v>1</v>
      </c>
      <c r="I31" s="439">
        <f t="shared" si="8"/>
        <v>1</v>
      </c>
      <c r="J31" s="439">
        <f t="shared" si="8"/>
        <v>1</v>
      </c>
      <c r="K31" s="439">
        <f t="shared" si="8"/>
        <v>1</v>
      </c>
      <c r="L31" s="439">
        <f t="shared" si="8"/>
        <v>1</v>
      </c>
      <c r="M31" s="439">
        <f t="shared" si="8"/>
        <v>1</v>
      </c>
      <c r="N31" s="439">
        <f t="shared" si="8"/>
        <v>1</v>
      </c>
      <c r="O31" s="439">
        <f t="shared" si="8"/>
        <v>1</v>
      </c>
      <c r="P31" s="439">
        <f t="shared" si="8"/>
        <v>1</v>
      </c>
      <c r="Q31" s="439">
        <f t="shared" si="8"/>
        <v>1</v>
      </c>
      <c r="R31" s="439">
        <f t="shared" si="8"/>
        <v>1</v>
      </c>
      <c r="S31" s="439">
        <f t="shared" si="8"/>
        <v>1</v>
      </c>
      <c r="T31" s="439">
        <f t="shared" si="8"/>
        <v>1</v>
      </c>
      <c r="U31" s="439">
        <f t="shared" si="8"/>
        <v>1</v>
      </c>
      <c r="V31" s="439">
        <f t="shared" si="8"/>
        <v>1</v>
      </c>
    </row>
    <row r="32" spans="2:22" s="5" customFormat="1" ht="12.75" customHeight="1" x14ac:dyDescent="0.3">
      <c r="B32" s="217" t="s">
        <v>48</v>
      </c>
      <c r="C32" s="434">
        <v>1</v>
      </c>
      <c r="D32" s="435">
        <f t="shared" ref="D32:V32" si="9">+D14</f>
        <v>1</v>
      </c>
      <c r="E32" s="435">
        <f t="shared" si="9"/>
        <v>1</v>
      </c>
      <c r="F32" s="435">
        <f t="shared" si="9"/>
        <v>1</v>
      </c>
      <c r="G32" s="435">
        <f t="shared" si="9"/>
        <v>1</v>
      </c>
      <c r="H32" s="435">
        <f t="shared" si="9"/>
        <v>1</v>
      </c>
      <c r="I32" s="435">
        <f t="shared" si="9"/>
        <v>1</v>
      </c>
      <c r="J32" s="435">
        <f t="shared" si="9"/>
        <v>1</v>
      </c>
      <c r="K32" s="435">
        <f t="shared" si="9"/>
        <v>1</v>
      </c>
      <c r="L32" s="435">
        <f t="shared" si="9"/>
        <v>1</v>
      </c>
      <c r="M32" s="435">
        <f t="shared" si="9"/>
        <v>1</v>
      </c>
      <c r="N32" s="435">
        <f t="shared" si="9"/>
        <v>1</v>
      </c>
      <c r="O32" s="435">
        <f t="shared" si="9"/>
        <v>1</v>
      </c>
      <c r="P32" s="435">
        <f t="shared" si="9"/>
        <v>1</v>
      </c>
      <c r="Q32" s="435">
        <f t="shared" si="9"/>
        <v>1</v>
      </c>
      <c r="R32" s="435">
        <f t="shared" si="9"/>
        <v>1</v>
      </c>
      <c r="S32" s="435">
        <f t="shared" si="9"/>
        <v>1</v>
      </c>
      <c r="T32" s="435">
        <f t="shared" si="9"/>
        <v>1</v>
      </c>
      <c r="U32" s="435">
        <f t="shared" si="9"/>
        <v>1</v>
      </c>
      <c r="V32" s="435">
        <f t="shared" si="9"/>
        <v>1</v>
      </c>
    </row>
    <row r="33" spans="2:22" s="187" customFormat="1" ht="13.5" customHeight="1" x14ac:dyDescent="0.3">
      <c r="B33" s="231" t="s">
        <v>50</v>
      </c>
      <c r="C33" s="440">
        <v>1</v>
      </c>
      <c r="D33" s="437">
        <f t="shared" ref="D33:V33" si="10">+D15</f>
        <v>1</v>
      </c>
      <c r="E33" s="437">
        <f t="shared" si="10"/>
        <v>1</v>
      </c>
      <c r="F33" s="437">
        <f t="shared" si="10"/>
        <v>1</v>
      </c>
      <c r="G33" s="437">
        <f t="shared" si="10"/>
        <v>1</v>
      </c>
      <c r="H33" s="437">
        <f t="shared" si="10"/>
        <v>1</v>
      </c>
      <c r="I33" s="437">
        <f t="shared" si="10"/>
        <v>1</v>
      </c>
      <c r="J33" s="437">
        <f t="shared" si="10"/>
        <v>1</v>
      </c>
      <c r="K33" s="437">
        <f t="shared" si="10"/>
        <v>1</v>
      </c>
      <c r="L33" s="437">
        <f t="shared" si="10"/>
        <v>1</v>
      </c>
      <c r="M33" s="437">
        <f t="shared" si="10"/>
        <v>1</v>
      </c>
      <c r="N33" s="437">
        <f t="shared" si="10"/>
        <v>1</v>
      </c>
      <c r="O33" s="437">
        <f t="shared" si="10"/>
        <v>1</v>
      </c>
      <c r="P33" s="437">
        <f t="shared" si="10"/>
        <v>1</v>
      </c>
      <c r="Q33" s="437">
        <f t="shared" si="10"/>
        <v>1</v>
      </c>
      <c r="R33" s="437">
        <f t="shared" si="10"/>
        <v>1</v>
      </c>
      <c r="S33" s="437">
        <f t="shared" si="10"/>
        <v>1</v>
      </c>
      <c r="T33" s="437">
        <f t="shared" si="10"/>
        <v>1</v>
      </c>
      <c r="U33" s="437">
        <f t="shared" si="10"/>
        <v>1</v>
      </c>
      <c r="V33" s="437">
        <f t="shared" si="10"/>
        <v>1</v>
      </c>
    </row>
    <row r="34" spans="2:22" s="5" customFormat="1" ht="13.5" customHeight="1" x14ac:dyDescent="0.3">
      <c r="B34" s="238"/>
      <c r="C34" s="239"/>
      <c r="D34" s="239"/>
      <c r="E34" s="239"/>
      <c r="F34" s="239"/>
      <c r="G34" s="239"/>
      <c r="H34" s="239"/>
      <c r="I34" s="239"/>
      <c r="J34" s="239"/>
      <c r="K34" s="239"/>
      <c r="L34" s="239"/>
      <c r="M34" s="239"/>
      <c r="N34" s="239"/>
      <c r="O34" s="239"/>
      <c r="P34" s="239"/>
      <c r="Q34" s="239"/>
      <c r="R34" s="239"/>
      <c r="S34" s="239"/>
      <c r="T34" s="239"/>
      <c r="U34" s="239"/>
      <c r="V34" s="239"/>
    </row>
    <row r="36" spans="2:22" ht="12.75" customHeight="1" x14ac:dyDescent="0.3">
      <c r="E36" s="224"/>
      <c r="F36" s="224"/>
      <c r="G36" s="224"/>
    </row>
    <row r="37" spans="2:22" ht="12.75" customHeight="1" x14ac:dyDescent="0.3">
      <c r="E37" s="224"/>
      <c r="F37" s="224"/>
      <c r="G37" s="224"/>
    </row>
  </sheetData>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A73"/>
  <sheetViews>
    <sheetView showGridLines="0" zoomScale="70" zoomScaleNormal="70" workbookViewId="0">
      <selection activeCell="E60" sqref="E60"/>
    </sheetView>
  </sheetViews>
  <sheetFormatPr defaultColWidth="10.88671875" defaultRowHeight="11.4" outlineLevelRow="1" x14ac:dyDescent="0.2"/>
  <cols>
    <col min="1" max="1" width="2" style="441" customWidth="1"/>
    <col min="2" max="2" width="39.88671875" style="441" customWidth="1"/>
    <col min="3" max="3" width="15.88671875" style="441" customWidth="1"/>
    <col min="4" max="4" width="19.44140625" style="442" customWidth="1"/>
    <col min="5" max="23" width="18.5546875" style="442" customWidth="1"/>
    <col min="24" max="24" width="20.5546875" style="442" customWidth="1"/>
    <col min="25" max="25" width="23.109375" style="441" customWidth="1"/>
    <col min="26" max="26" width="37.109375" style="441" customWidth="1"/>
    <col min="27" max="27" width="14.109375" style="441" customWidth="1"/>
    <col min="28" max="28" width="10.88671875" style="441" customWidth="1"/>
    <col min="29" max="16384" width="10.88671875" style="441"/>
  </cols>
  <sheetData>
    <row r="1" spans="1:105" s="187" customFormat="1" ht="15.75" customHeight="1" x14ac:dyDescent="0.3">
      <c r="B1" s="189"/>
      <c r="C1" s="189"/>
      <c r="D1" s="189"/>
      <c r="E1" s="189"/>
      <c r="F1" s="189"/>
      <c r="G1" s="189"/>
      <c r="H1" s="189"/>
      <c r="I1" s="190"/>
      <c r="J1" s="189"/>
      <c r="K1" s="189"/>
      <c r="L1" s="189"/>
      <c r="M1" s="189"/>
      <c r="N1" s="189"/>
      <c r="O1" s="189"/>
      <c r="P1" s="189"/>
      <c r="Q1" s="189"/>
      <c r="R1" s="189"/>
      <c r="S1" s="189"/>
      <c r="T1" s="189"/>
      <c r="U1" s="189"/>
      <c r="V1" s="189"/>
      <c r="W1" s="189"/>
      <c r="X1" s="189"/>
      <c r="Y1" s="189"/>
    </row>
    <row r="2" spans="1:105" s="188" customFormat="1" ht="15.75" customHeight="1" x14ac:dyDescent="0.3">
      <c r="A2" s="187"/>
      <c r="B2" s="526" t="str">
        <f>+FLUJO!B4</f>
        <v>1 de junio 2026</v>
      </c>
      <c r="C2" s="527"/>
      <c r="D2" s="322">
        <f>+FLUJO!C4</f>
        <v>2027</v>
      </c>
      <c r="E2" s="322">
        <f>+FLUJO!D4</f>
        <v>2028</v>
      </c>
      <c r="F2" s="322">
        <f>+FLUJO!E4</f>
        <v>2029</v>
      </c>
      <c r="G2" s="322">
        <f>+FLUJO!F4</f>
        <v>2030</v>
      </c>
      <c r="H2" s="322">
        <f>+FLUJO!G4</f>
        <v>2031</v>
      </c>
      <c r="I2" s="322">
        <f>+FLUJO!H4</f>
        <v>2032</v>
      </c>
      <c r="J2" s="322">
        <f>+FLUJO!I4</f>
        <v>2033</v>
      </c>
      <c r="K2" s="322">
        <f>+FLUJO!J4</f>
        <v>2034</v>
      </c>
      <c r="L2" s="322">
        <f>+FLUJO!K4</f>
        <v>2035</v>
      </c>
      <c r="M2" s="322">
        <f>+FLUJO!L4</f>
        <v>2036</v>
      </c>
      <c r="N2" s="322">
        <f>+FLUJO!M4</f>
        <v>2037</v>
      </c>
      <c r="O2" s="322">
        <f>+FLUJO!N4</f>
        <v>2038</v>
      </c>
      <c r="P2" s="322">
        <f>+FLUJO!O4</f>
        <v>2039</v>
      </c>
      <c r="Q2" s="322">
        <f>+FLUJO!P4</f>
        <v>2040</v>
      </c>
      <c r="R2" s="322">
        <f>+FLUJO!Q4</f>
        <v>2041</v>
      </c>
      <c r="S2" s="322">
        <f>+FLUJO!R4</f>
        <v>2042</v>
      </c>
      <c r="T2" s="322">
        <f>+FLUJO!S4</f>
        <v>2043</v>
      </c>
      <c r="U2" s="322">
        <f>+FLUJO!T4</f>
        <v>2044</v>
      </c>
      <c r="V2" s="322">
        <f>+FLUJO!U4</f>
        <v>2045</v>
      </c>
      <c r="W2" s="322">
        <f>+FLUJO!V4</f>
        <v>2046</v>
      </c>
      <c r="X2" s="514"/>
      <c r="Y2" s="187"/>
      <c r="Z2" s="187"/>
      <c r="AA2" s="187"/>
      <c r="AB2" s="187"/>
      <c r="AC2" s="187"/>
      <c r="AD2" s="187"/>
      <c r="AE2" s="187"/>
      <c r="AF2" s="187"/>
      <c r="AG2" s="187"/>
      <c r="AH2" s="187"/>
      <c r="AI2" s="187"/>
      <c r="AJ2" s="187"/>
      <c r="AK2" s="187"/>
      <c r="AL2" s="187"/>
      <c r="AM2" s="187"/>
      <c r="AN2" s="187"/>
      <c r="AO2" s="187"/>
      <c r="AP2" s="187"/>
      <c r="AQ2" s="187"/>
      <c r="AR2" s="187"/>
      <c r="AS2" s="187"/>
      <c r="AT2" s="187"/>
      <c r="AU2" s="187"/>
      <c r="AV2" s="187"/>
      <c r="AW2" s="187"/>
      <c r="AX2" s="187"/>
      <c r="AY2" s="187"/>
      <c r="AZ2" s="187"/>
      <c r="BA2" s="187"/>
      <c r="BB2" s="187"/>
      <c r="BC2" s="187"/>
      <c r="BD2" s="187"/>
      <c r="BE2" s="187"/>
      <c r="BF2" s="187"/>
      <c r="BG2" s="187"/>
      <c r="BH2" s="187"/>
      <c r="BI2" s="187"/>
      <c r="BJ2" s="187"/>
      <c r="BK2" s="187"/>
      <c r="BL2" s="187"/>
      <c r="BM2" s="187"/>
      <c r="BN2" s="187"/>
      <c r="BO2" s="187"/>
      <c r="BP2" s="187"/>
      <c r="BQ2" s="187"/>
      <c r="BR2" s="187"/>
      <c r="BS2" s="187"/>
      <c r="BT2" s="187"/>
      <c r="BU2" s="187"/>
      <c r="BV2" s="187"/>
      <c r="BW2" s="187"/>
      <c r="BX2" s="187"/>
      <c r="BY2" s="187"/>
      <c r="BZ2" s="187"/>
      <c r="CA2" s="187"/>
      <c r="CB2" s="187"/>
      <c r="CC2" s="187"/>
      <c r="CD2" s="187"/>
      <c r="CE2" s="187"/>
      <c r="CF2" s="187"/>
      <c r="CG2" s="187"/>
      <c r="CH2" s="187"/>
      <c r="CI2" s="187"/>
      <c r="CJ2" s="187"/>
      <c r="CK2" s="187"/>
      <c r="CL2" s="187"/>
      <c r="CM2" s="187"/>
      <c r="CN2" s="187"/>
      <c r="CO2" s="187"/>
      <c r="CP2" s="187"/>
      <c r="CQ2" s="187"/>
      <c r="CR2" s="187"/>
      <c r="CS2" s="187"/>
      <c r="CT2" s="187"/>
      <c r="CU2" s="187"/>
      <c r="CV2" s="187"/>
      <c r="CW2" s="187"/>
      <c r="CX2" s="187"/>
      <c r="CY2" s="187"/>
      <c r="CZ2" s="187"/>
      <c r="DA2" s="187"/>
    </row>
    <row r="3" spans="1:105" s="188" customFormat="1" ht="14.25" customHeight="1" x14ac:dyDescent="0.25">
      <c r="A3" s="187"/>
      <c r="B3" s="526" t="str">
        <f>+CONTROL!B2</f>
        <v>TIR Nominal (con IVA)</v>
      </c>
      <c r="C3" s="527"/>
      <c r="D3" s="443">
        <f>+FLUJO!C5</f>
        <v>46388</v>
      </c>
      <c r="E3" s="443">
        <f>+FLUJO!D5</f>
        <v>46753</v>
      </c>
      <c r="F3" s="444">
        <f>+FLUJO!E5</f>
        <v>47119</v>
      </c>
      <c r="G3" s="444">
        <f>+FLUJO!F5</f>
        <v>47484</v>
      </c>
      <c r="H3" s="444">
        <f>+FLUJO!G5</f>
        <v>47849</v>
      </c>
      <c r="I3" s="444">
        <f>+FLUJO!H5</f>
        <v>48214</v>
      </c>
      <c r="J3" s="444">
        <f>+FLUJO!I5</f>
        <v>48580</v>
      </c>
      <c r="K3" s="444">
        <f>+FLUJO!J5</f>
        <v>48945</v>
      </c>
      <c r="L3" s="444">
        <f>+FLUJO!K5</f>
        <v>49310</v>
      </c>
      <c r="M3" s="444">
        <f>+FLUJO!L5</f>
        <v>49675</v>
      </c>
      <c r="N3" s="444">
        <f>+FLUJO!M5</f>
        <v>50041</v>
      </c>
      <c r="O3" s="444">
        <f>+FLUJO!N5</f>
        <v>50406</v>
      </c>
      <c r="P3" s="444">
        <f>+FLUJO!O5</f>
        <v>50771</v>
      </c>
      <c r="Q3" s="444">
        <f>+FLUJO!P5</f>
        <v>51136</v>
      </c>
      <c r="R3" s="444">
        <f>+FLUJO!Q5</f>
        <v>51502</v>
      </c>
      <c r="S3" s="444">
        <f>+FLUJO!R5</f>
        <v>51867</v>
      </c>
      <c r="T3" s="444">
        <f>+FLUJO!S5</f>
        <v>52232</v>
      </c>
      <c r="U3" s="444">
        <f>+FLUJO!T5</f>
        <v>52597</v>
      </c>
      <c r="V3" s="444">
        <f>+FLUJO!U5</f>
        <v>52963</v>
      </c>
      <c r="W3" s="444">
        <f>+FLUJO!V5</f>
        <v>53328</v>
      </c>
      <c r="X3" s="527"/>
      <c r="Y3" s="187"/>
      <c r="Z3" s="187"/>
      <c r="AA3" s="187"/>
      <c r="AB3" s="187"/>
      <c r="AC3" s="187"/>
      <c r="AD3" s="187"/>
      <c r="AE3" s="187"/>
      <c r="AF3" s="187"/>
      <c r="AG3" s="187"/>
      <c r="AH3" s="187"/>
      <c r="AI3" s="187"/>
      <c r="AJ3" s="187"/>
      <c r="AK3" s="187"/>
      <c r="AL3" s="187"/>
      <c r="AM3" s="187"/>
      <c r="AN3" s="187"/>
      <c r="AO3" s="187"/>
      <c r="AP3" s="187"/>
      <c r="AQ3" s="187"/>
      <c r="AR3" s="187"/>
      <c r="AS3" s="187"/>
      <c r="AT3" s="187"/>
      <c r="AU3" s="187"/>
      <c r="AV3" s="187"/>
      <c r="AW3" s="187"/>
      <c r="AX3" s="187"/>
      <c r="AY3" s="187"/>
      <c r="AZ3" s="187"/>
      <c r="BA3" s="187"/>
      <c r="BB3" s="187"/>
      <c r="BC3" s="187"/>
      <c r="BD3" s="187"/>
      <c r="BE3" s="187"/>
      <c r="BF3" s="187"/>
      <c r="BG3" s="187"/>
      <c r="BH3" s="187"/>
      <c r="BI3" s="187"/>
      <c r="BJ3" s="187"/>
      <c r="BK3" s="187"/>
      <c r="BL3" s="187"/>
      <c r="BM3" s="187"/>
      <c r="BN3" s="187"/>
      <c r="BO3" s="187"/>
      <c r="BP3" s="187"/>
      <c r="BQ3" s="187"/>
      <c r="BR3" s="187"/>
      <c r="BS3" s="187"/>
      <c r="BT3" s="187"/>
      <c r="BU3" s="187"/>
      <c r="BV3" s="187"/>
      <c r="BW3" s="187"/>
      <c r="BX3" s="187"/>
      <c r="BY3" s="187"/>
      <c r="BZ3" s="187"/>
      <c r="CA3" s="187"/>
      <c r="CB3" s="187"/>
      <c r="CC3" s="187"/>
      <c r="CD3" s="187"/>
      <c r="CE3" s="187"/>
      <c r="CF3" s="187"/>
      <c r="CG3" s="187"/>
      <c r="CH3" s="187"/>
      <c r="CI3" s="187"/>
      <c r="CJ3" s="187"/>
      <c r="CK3" s="187"/>
      <c r="CL3" s="187"/>
      <c r="CM3" s="187"/>
      <c r="CN3" s="187"/>
      <c r="CO3" s="187"/>
      <c r="CP3" s="187"/>
      <c r="CQ3" s="187"/>
      <c r="CR3" s="187"/>
      <c r="CS3" s="187"/>
      <c r="CT3" s="187"/>
      <c r="CU3" s="187"/>
      <c r="CV3" s="187"/>
      <c r="CW3" s="187"/>
      <c r="CX3" s="187"/>
      <c r="CY3" s="187"/>
      <c r="CZ3" s="187"/>
      <c r="DA3" s="187"/>
    </row>
    <row r="4" spans="1:105" s="188" customFormat="1" ht="15" customHeight="1" x14ac:dyDescent="0.25">
      <c r="A4" s="187"/>
      <c r="B4" s="532">
        <f>+FLUJO!B6</f>
        <v>2.2128474741156055</v>
      </c>
      <c r="C4" s="527"/>
      <c r="D4" s="444">
        <f>+FLUJO!C6</f>
        <v>46752</v>
      </c>
      <c r="E4" s="444">
        <f>+FLUJO!D6</f>
        <v>47118</v>
      </c>
      <c r="F4" s="444">
        <f>+FLUJO!E6</f>
        <v>47483</v>
      </c>
      <c r="G4" s="444">
        <f>+FLUJO!F6</f>
        <v>47848</v>
      </c>
      <c r="H4" s="444">
        <f>+FLUJO!G6</f>
        <v>48213</v>
      </c>
      <c r="I4" s="444">
        <f>+FLUJO!H6</f>
        <v>48579</v>
      </c>
      <c r="J4" s="444">
        <f>+FLUJO!I6</f>
        <v>48944</v>
      </c>
      <c r="K4" s="444">
        <f>+FLUJO!J6</f>
        <v>49309</v>
      </c>
      <c r="L4" s="444">
        <f>+FLUJO!K6</f>
        <v>49674</v>
      </c>
      <c r="M4" s="444">
        <f>+FLUJO!L6</f>
        <v>50040</v>
      </c>
      <c r="N4" s="444">
        <f>+FLUJO!M6</f>
        <v>50405</v>
      </c>
      <c r="O4" s="444">
        <f>+FLUJO!N6</f>
        <v>50770</v>
      </c>
      <c r="P4" s="444">
        <f>+FLUJO!O6</f>
        <v>51135</v>
      </c>
      <c r="Q4" s="444">
        <f>+FLUJO!P6</f>
        <v>51501</v>
      </c>
      <c r="R4" s="444">
        <f>+FLUJO!Q6</f>
        <v>51866</v>
      </c>
      <c r="S4" s="444">
        <f>+FLUJO!R6</f>
        <v>52231</v>
      </c>
      <c r="T4" s="444">
        <f>+FLUJO!S6</f>
        <v>52596</v>
      </c>
      <c r="U4" s="444">
        <f>+FLUJO!T6</f>
        <v>52962</v>
      </c>
      <c r="V4" s="444">
        <f>+FLUJO!U6</f>
        <v>53327</v>
      </c>
      <c r="W4" s="444">
        <f>+FLUJO!V6</f>
        <v>53692</v>
      </c>
      <c r="X4" s="527"/>
      <c r="Y4" s="187"/>
      <c r="Z4" s="187"/>
      <c r="AA4" s="187"/>
      <c r="AB4" s="187"/>
      <c r="AC4" s="187"/>
      <c r="AD4" s="187"/>
      <c r="AE4" s="187"/>
      <c r="AF4" s="187"/>
      <c r="AG4" s="187"/>
      <c r="AH4" s="187"/>
      <c r="AI4" s="187"/>
      <c r="AJ4" s="187"/>
      <c r="AK4" s="187"/>
      <c r="AL4" s="187"/>
      <c r="AM4" s="187"/>
      <c r="AN4" s="187"/>
      <c r="AO4" s="187"/>
      <c r="AP4" s="187"/>
      <c r="AQ4" s="187"/>
      <c r="AR4" s="187"/>
      <c r="AS4" s="187"/>
      <c r="AT4" s="187"/>
      <c r="AU4" s="187"/>
      <c r="AV4" s="187"/>
      <c r="AW4" s="187"/>
      <c r="AX4" s="187"/>
      <c r="AY4" s="187"/>
      <c r="AZ4" s="187"/>
      <c r="BA4" s="187"/>
      <c r="BB4" s="187"/>
      <c r="BC4" s="187"/>
      <c r="BD4" s="187"/>
      <c r="BE4" s="187"/>
      <c r="BF4" s="187"/>
      <c r="BG4" s="187"/>
      <c r="BH4" s="187"/>
      <c r="BI4" s="187"/>
      <c r="BJ4" s="187"/>
      <c r="BK4" s="187"/>
      <c r="BL4" s="187"/>
      <c r="BM4" s="187"/>
      <c r="BN4" s="187"/>
      <c r="BO4" s="187"/>
      <c r="BP4" s="187"/>
      <c r="BQ4" s="187"/>
      <c r="BR4" s="187"/>
      <c r="BS4" s="187"/>
      <c r="BT4" s="187"/>
      <c r="BU4" s="187"/>
      <c r="BV4" s="187"/>
      <c r="BW4" s="187"/>
      <c r="BX4" s="187"/>
      <c r="BY4" s="187"/>
      <c r="BZ4" s="187"/>
      <c r="CA4" s="187"/>
      <c r="CB4" s="187"/>
      <c r="CC4" s="187"/>
      <c r="CD4" s="187"/>
      <c r="CE4" s="187"/>
      <c r="CF4" s="187"/>
      <c r="CG4" s="187"/>
      <c r="CH4" s="187"/>
      <c r="CI4" s="187"/>
      <c r="CJ4" s="187"/>
      <c r="CK4" s="187"/>
      <c r="CL4" s="187"/>
      <c r="CM4" s="187"/>
      <c r="CN4" s="187"/>
      <c r="CO4" s="187"/>
      <c r="CP4" s="187"/>
      <c r="CQ4" s="187"/>
      <c r="CR4" s="187"/>
      <c r="CS4" s="187"/>
      <c r="CT4" s="187"/>
      <c r="CU4" s="187"/>
      <c r="CV4" s="187"/>
      <c r="CW4" s="187"/>
      <c r="CX4" s="187"/>
      <c r="CY4" s="187"/>
      <c r="CZ4" s="187"/>
      <c r="DA4" s="187"/>
    </row>
    <row r="5" spans="1:105" s="187" customFormat="1" ht="15" customHeight="1" x14ac:dyDescent="0.25">
      <c r="B5" s="196"/>
      <c r="C5" s="196"/>
      <c r="D5" s="197"/>
      <c r="E5" s="197"/>
      <c r="F5" s="197"/>
      <c r="G5" s="197"/>
      <c r="H5" s="197"/>
      <c r="I5" s="197"/>
      <c r="J5" s="197"/>
      <c r="K5" s="197"/>
      <c r="L5" s="197"/>
      <c r="M5" s="197"/>
      <c r="N5" s="197"/>
      <c r="O5" s="197"/>
      <c r="P5" s="197"/>
      <c r="Q5" s="197"/>
      <c r="R5" s="197"/>
      <c r="S5" s="197"/>
      <c r="T5" s="197"/>
      <c r="U5" s="197"/>
      <c r="V5" s="197"/>
      <c r="W5" s="197"/>
      <c r="X5" s="5"/>
    </row>
    <row r="6" spans="1:105" s="187" customFormat="1" ht="14.25" customHeight="1" x14ac:dyDescent="0.25">
      <c r="B6" s="525" t="s">
        <v>98</v>
      </c>
      <c r="C6" s="515"/>
      <c r="D6" s="203">
        <v>1</v>
      </c>
      <c r="E6" s="203">
        <v>2</v>
      </c>
      <c r="F6" s="203">
        <v>3</v>
      </c>
      <c r="G6" s="203">
        <v>4</v>
      </c>
      <c r="H6" s="203">
        <v>5</v>
      </c>
      <c r="I6" s="203">
        <v>6</v>
      </c>
      <c r="J6" s="203">
        <v>7</v>
      </c>
      <c r="K6" s="203">
        <v>8</v>
      </c>
      <c r="L6" s="203">
        <v>9</v>
      </c>
      <c r="M6" s="203">
        <v>10</v>
      </c>
      <c r="N6" s="203">
        <v>11</v>
      </c>
      <c r="O6" s="203">
        <v>12</v>
      </c>
      <c r="P6" s="203">
        <v>13</v>
      </c>
      <c r="Q6" s="203">
        <v>14</v>
      </c>
      <c r="R6" s="203">
        <v>15</v>
      </c>
      <c r="S6" s="203">
        <v>16</v>
      </c>
      <c r="T6" s="203">
        <v>17</v>
      </c>
      <c r="U6" s="203">
        <v>18</v>
      </c>
      <c r="V6" s="203">
        <v>19</v>
      </c>
      <c r="W6" s="203">
        <v>20</v>
      </c>
      <c r="X6" s="5"/>
    </row>
    <row r="7" spans="1:105" s="187" customFormat="1" ht="12.75" customHeight="1" outlineLevel="1" x14ac:dyDescent="0.25">
      <c r="B7" s="528" t="s">
        <v>99</v>
      </c>
      <c r="C7" s="515"/>
      <c r="D7" s="202">
        <f t="shared" ref="D7:W7" si="0">+D4-D3+1</f>
        <v>365</v>
      </c>
      <c r="E7" s="203">
        <f t="shared" si="0"/>
        <v>366</v>
      </c>
      <c r="F7" s="203">
        <f t="shared" si="0"/>
        <v>365</v>
      </c>
      <c r="G7" s="203">
        <f t="shared" si="0"/>
        <v>365</v>
      </c>
      <c r="H7" s="203">
        <f t="shared" si="0"/>
        <v>365</v>
      </c>
      <c r="I7" s="203">
        <f t="shared" si="0"/>
        <v>366</v>
      </c>
      <c r="J7" s="203">
        <f t="shared" si="0"/>
        <v>365</v>
      </c>
      <c r="K7" s="203">
        <f t="shared" si="0"/>
        <v>365</v>
      </c>
      <c r="L7" s="203">
        <f t="shared" si="0"/>
        <v>365</v>
      </c>
      <c r="M7" s="203">
        <f t="shared" si="0"/>
        <v>366</v>
      </c>
      <c r="N7" s="203">
        <f t="shared" si="0"/>
        <v>365</v>
      </c>
      <c r="O7" s="203">
        <f t="shared" si="0"/>
        <v>365</v>
      </c>
      <c r="P7" s="203">
        <f t="shared" si="0"/>
        <v>365</v>
      </c>
      <c r="Q7" s="203">
        <f t="shared" si="0"/>
        <v>366</v>
      </c>
      <c r="R7" s="203">
        <f t="shared" si="0"/>
        <v>365</v>
      </c>
      <c r="S7" s="203">
        <f t="shared" si="0"/>
        <v>365</v>
      </c>
      <c r="T7" s="203">
        <f t="shared" si="0"/>
        <v>365</v>
      </c>
      <c r="U7" s="203">
        <f t="shared" si="0"/>
        <v>366</v>
      </c>
      <c r="V7" s="203">
        <f t="shared" si="0"/>
        <v>365</v>
      </c>
      <c r="W7" s="203">
        <f t="shared" si="0"/>
        <v>365</v>
      </c>
      <c r="X7" s="5"/>
    </row>
    <row r="8" spans="1:105" s="187" customFormat="1" ht="12.75" customHeight="1" outlineLevel="1" x14ac:dyDescent="0.25">
      <c r="B8" s="528" t="s">
        <v>100</v>
      </c>
      <c r="C8" s="515"/>
      <c r="D8" s="203">
        <f>+-D3+D4+1</f>
        <v>365</v>
      </c>
      <c r="E8" s="203">
        <f t="shared" ref="E8:N9" si="1">+E7</f>
        <v>366</v>
      </c>
      <c r="F8" s="203">
        <f t="shared" si="1"/>
        <v>365</v>
      </c>
      <c r="G8" s="203">
        <f t="shared" si="1"/>
        <v>365</v>
      </c>
      <c r="H8" s="203">
        <f t="shared" si="1"/>
        <v>365</v>
      </c>
      <c r="I8" s="203">
        <f t="shared" si="1"/>
        <v>366</v>
      </c>
      <c r="J8" s="203">
        <f t="shared" si="1"/>
        <v>365</v>
      </c>
      <c r="K8" s="203">
        <f t="shared" si="1"/>
        <v>365</v>
      </c>
      <c r="L8" s="203">
        <f t="shared" si="1"/>
        <v>365</v>
      </c>
      <c r="M8" s="203">
        <f t="shared" si="1"/>
        <v>366</v>
      </c>
      <c r="N8" s="203">
        <f t="shared" si="1"/>
        <v>365</v>
      </c>
      <c r="O8" s="203">
        <f t="shared" ref="O8:X9" si="2">+O7</f>
        <v>365</v>
      </c>
      <c r="P8" s="203">
        <f t="shared" si="2"/>
        <v>365</v>
      </c>
      <c r="Q8" s="203">
        <f t="shared" si="2"/>
        <v>366</v>
      </c>
      <c r="R8" s="203">
        <f t="shared" si="2"/>
        <v>365</v>
      </c>
      <c r="S8" s="203">
        <f t="shared" si="2"/>
        <v>365</v>
      </c>
      <c r="T8" s="203">
        <f t="shared" si="2"/>
        <v>365</v>
      </c>
      <c r="U8" s="203">
        <f t="shared" si="2"/>
        <v>366</v>
      </c>
      <c r="V8" s="203">
        <f t="shared" si="2"/>
        <v>365</v>
      </c>
      <c r="W8" s="203">
        <f t="shared" si="2"/>
        <v>365</v>
      </c>
      <c r="X8" s="5"/>
    </row>
    <row r="9" spans="1:105" s="187" customFormat="1" ht="12.75" customHeight="1" outlineLevel="1" x14ac:dyDescent="0.25">
      <c r="B9" s="528" t="s">
        <v>101</v>
      </c>
      <c r="C9" s="515"/>
      <c r="D9" s="203">
        <f>+D8</f>
        <v>365</v>
      </c>
      <c r="E9" s="203">
        <f t="shared" si="1"/>
        <v>366</v>
      </c>
      <c r="F9" s="203">
        <f t="shared" si="1"/>
        <v>365</v>
      </c>
      <c r="G9" s="203">
        <f t="shared" si="1"/>
        <v>365</v>
      </c>
      <c r="H9" s="203">
        <f t="shared" si="1"/>
        <v>365</v>
      </c>
      <c r="I9" s="203">
        <f t="shared" si="1"/>
        <v>366</v>
      </c>
      <c r="J9" s="203">
        <f t="shared" si="1"/>
        <v>365</v>
      </c>
      <c r="K9" s="203">
        <f t="shared" si="1"/>
        <v>365</v>
      </c>
      <c r="L9" s="203">
        <f t="shared" si="1"/>
        <v>365</v>
      </c>
      <c r="M9" s="203">
        <f t="shared" si="1"/>
        <v>366</v>
      </c>
      <c r="N9" s="203">
        <f t="shared" si="1"/>
        <v>365</v>
      </c>
      <c r="O9" s="203">
        <f t="shared" si="2"/>
        <v>365</v>
      </c>
      <c r="P9" s="203">
        <f t="shared" si="2"/>
        <v>365</v>
      </c>
      <c r="Q9" s="203">
        <f t="shared" si="2"/>
        <v>366</v>
      </c>
      <c r="R9" s="203">
        <f t="shared" si="2"/>
        <v>365</v>
      </c>
      <c r="S9" s="203">
        <f t="shared" si="2"/>
        <v>365</v>
      </c>
      <c r="T9" s="203">
        <f t="shared" si="2"/>
        <v>365</v>
      </c>
      <c r="U9" s="203">
        <f t="shared" si="2"/>
        <v>366</v>
      </c>
      <c r="V9" s="203">
        <f t="shared" si="2"/>
        <v>365</v>
      </c>
      <c r="W9" s="203">
        <f t="shared" si="2"/>
        <v>365</v>
      </c>
      <c r="X9" s="5"/>
    </row>
    <row r="10" spans="1:105" s="187" customFormat="1" ht="12.75" customHeight="1" outlineLevel="1" x14ac:dyDescent="0.25">
      <c r="B10" s="529" t="s">
        <v>102</v>
      </c>
      <c r="C10" s="515"/>
      <c r="D10" s="323">
        <f>+HIPOTESIS!C11</f>
        <v>1</v>
      </c>
      <c r="E10" s="323">
        <f>+HIPOTESIS!D11</f>
        <v>1</v>
      </c>
      <c r="F10" s="323">
        <f>+HIPOTESIS!E11</f>
        <v>1</v>
      </c>
      <c r="G10" s="323">
        <f>+HIPOTESIS!F11</f>
        <v>1</v>
      </c>
      <c r="H10" s="323">
        <f>+HIPOTESIS!G11</f>
        <v>1</v>
      </c>
      <c r="I10" s="323">
        <f>+HIPOTESIS!H11</f>
        <v>1</v>
      </c>
      <c r="J10" s="323">
        <f>+HIPOTESIS!I11</f>
        <v>1</v>
      </c>
      <c r="K10" s="323">
        <f>+HIPOTESIS!J11</f>
        <v>1</v>
      </c>
      <c r="L10" s="323">
        <f>+HIPOTESIS!K11</f>
        <v>1</v>
      </c>
      <c r="M10" s="323">
        <f>+HIPOTESIS!L11</f>
        <v>1</v>
      </c>
      <c r="N10" s="323">
        <f>+HIPOTESIS!M11</f>
        <v>1</v>
      </c>
      <c r="O10" s="323">
        <f>+HIPOTESIS!N11</f>
        <v>1</v>
      </c>
      <c r="P10" s="323">
        <f>+HIPOTESIS!O11</f>
        <v>1</v>
      </c>
      <c r="Q10" s="323">
        <f>+HIPOTESIS!P11</f>
        <v>1</v>
      </c>
      <c r="R10" s="323">
        <f>+HIPOTESIS!Q11</f>
        <v>1</v>
      </c>
      <c r="S10" s="323">
        <f>+HIPOTESIS!R11</f>
        <v>1</v>
      </c>
      <c r="T10" s="323">
        <f>+HIPOTESIS!S11</f>
        <v>1</v>
      </c>
      <c r="U10" s="323">
        <f>+HIPOTESIS!T11</f>
        <v>1</v>
      </c>
      <c r="V10" s="323">
        <f>+HIPOTESIS!U11</f>
        <v>1</v>
      </c>
      <c r="W10" s="323">
        <f>+HIPOTESIS!V11</f>
        <v>1</v>
      </c>
      <c r="X10" s="5"/>
    </row>
    <row r="11" spans="1:105" s="187" customFormat="1" ht="12.75" customHeight="1" outlineLevel="1" x14ac:dyDescent="0.25">
      <c r="B11" s="529" t="s">
        <v>103</v>
      </c>
      <c r="C11" s="515"/>
      <c r="D11" s="323">
        <f>+HIPOTESIS!C12</f>
        <v>1</v>
      </c>
      <c r="E11" s="323">
        <f>+HIPOTESIS!D12</f>
        <v>1</v>
      </c>
      <c r="F11" s="323">
        <f>+HIPOTESIS!E12</f>
        <v>1</v>
      </c>
      <c r="G11" s="323">
        <f>+HIPOTESIS!F12</f>
        <v>1</v>
      </c>
      <c r="H11" s="323">
        <f>+HIPOTESIS!G12</f>
        <v>1</v>
      </c>
      <c r="I11" s="323">
        <f>+HIPOTESIS!H12</f>
        <v>1</v>
      </c>
      <c r="J11" s="323">
        <f>+HIPOTESIS!I12</f>
        <v>1</v>
      </c>
      <c r="K11" s="323">
        <f>+HIPOTESIS!J12</f>
        <v>1</v>
      </c>
      <c r="L11" s="323">
        <f>+HIPOTESIS!K12</f>
        <v>1</v>
      </c>
      <c r="M11" s="323">
        <f>+HIPOTESIS!L12</f>
        <v>1</v>
      </c>
      <c r="N11" s="323">
        <f>+HIPOTESIS!M12</f>
        <v>1</v>
      </c>
      <c r="O11" s="323">
        <f>+HIPOTESIS!N12</f>
        <v>1</v>
      </c>
      <c r="P11" s="323">
        <f>+HIPOTESIS!O12</f>
        <v>1</v>
      </c>
      <c r="Q11" s="323">
        <f>+HIPOTESIS!P12</f>
        <v>1</v>
      </c>
      <c r="R11" s="323">
        <f>+HIPOTESIS!Q12</f>
        <v>1</v>
      </c>
      <c r="S11" s="323">
        <f>+HIPOTESIS!R12</f>
        <v>1</v>
      </c>
      <c r="T11" s="323">
        <f>+HIPOTESIS!S12</f>
        <v>1</v>
      </c>
      <c r="U11" s="323">
        <f>+HIPOTESIS!T12</f>
        <v>1</v>
      </c>
      <c r="V11" s="323">
        <f>+HIPOTESIS!U12</f>
        <v>1</v>
      </c>
      <c r="W11" s="323">
        <f>+HIPOTESIS!V12</f>
        <v>1</v>
      </c>
      <c r="X11" s="5"/>
    </row>
    <row r="12" spans="1:105" s="187" customFormat="1" ht="12.75" customHeight="1" outlineLevel="1" x14ac:dyDescent="0.25">
      <c r="B12" s="529" t="s">
        <v>104</v>
      </c>
      <c r="C12" s="515"/>
      <c r="D12" s="323">
        <f>+HIPOTESIS!C13</f>
        <v>1</v>
      </c>
      <c r="E12" s="323">
        <f>+HIPOTESIS!D13</f>
        <v>1</v>
      </c>
      <c r="F12" s="323">
        <f>+HIPOTESIS!E13</f>
        <v>1</v>
      </c>
      <c r="G12" s="323">
        <f>+HIPOTESIS!F13</f>
        <v>1</v>
      </c>
      <c r="H12" s="323">
        <f>+HIPOTESIS!G13</f>
        <v>1</v>
      </c>
      <c r="I12" s="323">
        <f>+HIPOTESIS!H13</f>
        <v>1</v>
      </c>
      <c r="J12" s="323">
        <f>+HIPOTESIS!I13</f>
        <v>1</v>
      </c>
      <c r="K12" s="323">
        <f>+HIPOTESIS!J13</f>
        <v>1</v>
      </c>
      <c r="L12" s="323">
        <f>+HIPOTESIS!K13</f>
        <v>1</v>
      </c>
      <c r="M12" s="323">
        <f>+HIPOTESIS!L13</f>
        <v>1</v>
      </c>
      <c r="N12" s="323">
        <f>+HIPOTESIS!M13</f>
        <v>1</v>
      </c>
      <c r="O12" s="323">
        <f>+HIPOTESIS!N13</f>
        <v>1</v>
      </c>
      <c r="P12" s="323">
        <f>+HIPOTESIS!O13</f>
        <v>1</v>
      </c>
      <c r="Q12" s="323">
        <f>+HIPOTESIS!P13</f>
        <v>1</v>
      </c>
      <c r="R12" s="323">
        <f>+HIPOTESIS!Q13</f>
        <v>1</v>
      </c>
      <c r="S12" s="323">
        <f>+HIPOTESIS!R13</f>
        <v>1</v>
      </c>
      <c r="T12" s="323">
        <f>+HIPOTESIS!S13</f>
        <v>1</v>
      </c>
      <c r="U12" s="323">
        <f>+HIPOTESIS!T13</f>
        <v>1</v>
      </c>
      <c r="V12" s="323">
        <f>+HIPOTESIS!U13</f>
        <v>1</v>
      </c>
      <c r="W12" s="323">
        <f>+HIPOTESIS!V13</f>
        <v>1</v>
      </c>
      <c r="X12" s="5"/>
    </row>
    <row r="13" spans="1:105" ht="12.75" customHeight="1" x14ac:dyDescent="0.25">
      <c r="X13" s="445" t="s">
        <v>106</v>
      </c>
    </row>
    <row r="14" spans="1:105" ht="12.75" customHeight="1" x14ac:dyDescent="0.2"/>
    <row r="15" spans="1:105" ht="12.75" customHeight="1" x14ac:dyDescent="0.25">
      <c r="A15" s="446"/>
      <c r="B15" s="447"/>
      <c r="C15" s="448"/>
      <c r="D15" s="449"/>
      <c r="E15" s="449"/>
      <c r="F15" s="449"/>
      <c r="G15" s="449"/>
      <c r="H15" s="449"/>
      <c r="I15" s="449"/>
      <c r="J15" s="449"/>
      <c r="K15" s="449"/>
      <c r="L15" s="449"/>
      <c r="M15" s="449"/>
      <c r="N15" s="449"/>
      <c r="O15" s="449"/>
      <c r="P15" s="449"/>
      <c r="Q15" s="449"/>
      <c r="R15" s="449"/>
      <c r="S15" s="449"/>
      <c r="T15" s="449"/>
      <c r="U15" s="449"/>
      <c r="V15" s="449"/>
      <c r="W15" s="449"/>
      <c r="X15" s="450"/>
      <c r="Z15" s="451" t="s">
        <v>72</v>
      </c>
      <c r="AA15" s="452">
        <f>+CONTROL!C43</f>
        <v>2.5000000000000001E-2</v>
      </c>
    </row>
    <row r="16" spans="1:105" ht="12" customHeight="1" x14ac:dyDescent="0.25">
      <c r="A16" s="446"/>
      <c r="B16" s="453" t="s">
        <v>251</v>
      </c>
      <c r="C16" s="454"/>
      <c r="D16" s="455">
        <f>+(SUM(FLUJO!C73:C75)/1.21)*IMPUESTOS!$AA$15</f>
        <v>0</v>
      </c>
      <c r="E16" s="455">
        <f>+(SUM(FLUJO!D73:D75)/1.21)*IMPUESTOS!$AA$15</f>
        <v>724255140.49586785</v>
      </c>
      <c r="F16" s="455">
        <f>+(SUM(FLUJO!E73:E75)/1.21)*IMPUESTOS!$AA$15</f>
        <v>745982794.7107439</v>
      </c>
      <c r="G16" s="455">
        <f>+(SUM(FLUJO!F73:F75)/1.21)*IMPUESTOS!$AA$15</f>
        <v>768362278.55206621</v>
      </c>
      <c r="H16" s="455">
        <f>+(SUM(FLUJO!G73:G75)/1.21)*IMPUESTOS!$AA$15</f>
        <v>791413146.90862823</v>
      </c>
      <c r="I16" s="455">
        <f>+(SUM(FLUJO!H73:H75)/1.21)*IMPUESTOS!$AA$15</f>
        <v>815155541.31588697</v>
      </c>
      <c r="J16" s="455">
        <f>+(SUM(FLUJO!I73:I75)/1.21)*IMPUESTOS!$AA$15</f>
        <v>839610207.55536366</v>
      </c>
      <c r="K16" s="455">
        <f>+(SUM(FLUJO!J73:J75)/1.21)*IMPUESTOS!$AA$15</f>
        <v>864798513.78202462</v>
      </c>
      <c r="L16" s="455">
        <f>+(SUM(FLUJO!K73:K75)/1.21)*IMPUESTOS!$AA$15</f>
        <v>890742469.19548559</v>
      </c>
      <c r="M16" s="455">
        <f>+(SUM(FLUJO!L73:L75)/1.21)*IMPUESTOS!$AA$15</f>
        <v>917464743.27134991</v>
      </c>
      <c r="N16" s="455">
        <f>+(SUM(FLUJO!M73:M75)/1.21)*IMPUESTOS!$AA$15</f>
        <v>944988685.56949043</v>
      </c>
      <c r="O16" s="455">
        <f>+(SUM(FLUJO!N73:N75)/1.21)*IMPUESTOS!$AA$15</f>
        <v>973338346.13657522</v>
      </c>
      <c r="P16" s="455">
        <f>+(SUM(FLUJO!O73:O75)/1.21)*IMPUESTOS!$AA$15</f>
        <v>1002538496.5206724</v>
      </c>
      <c r="Q16" s="455">
        <f>+(SUM(FLUJO!P73:P75)/1.21)*IMPUESTOS!$AA$15</f>
        <v>1032614651.4162927</v>
      </c>
      <c r="R16" s="455">
        <f>+(SUM(FLUJO!Q73:Q75)/1.21)*IMPUESTOS!$AA$15</f>
        <v>1063593090.9587815</v>
      </c>
      <c r="S16" s="455">
        <f>+(SUM(FLUJO!R73:R75)/1.21)*IMPUESTOS!$AA$15</f>
        <v>1095500883.6875451</v>
      </c>
      <c r="T16" s="455">
        <f>+(SUM(FLUJO!S73:S75)/1.21)*IMPUESTOS!$AA$15</f>
        <v>1128365910.1981714</v>
      </c>
      <c r="U16" s="455">
        <f>+(SUM(FLUJO!T73:T75)/1.21)*IMPUESTOS!$AA$15</f>
        <v>1162216887.5041165</v>
      </c>
      <c r="V16" s="455">
        <f>+(SUM(FLUJO!U73:U75)/1.21)*IMPUESTOS!$AA$15</f>
        <v>1197083394.12924</v>
      </c>
      <c r="W16" s="455">
        <f>+(SUM(FLUJO!V73:V75)/1.21)*IMPUESTOS!$AA$15</f>
        <v>1232995895.9531174</v>
      </c>
      <c r="X16" s="456">
        <f>SUM(D16:W16)</f>
        <v>18191021077.86142</v>
      </c>
      <c r="Z16" s="451" t="s">
        <v>75</v>
      </c>
      <c r="AA16" s="457">
        <f>+CONTROL!C44</f>
        <v>0.35</v>
      </c>
    </row>
    <row r="17" spans="1:27" ht="12" customHeight="1" x14ac:dyDescent="0.25">
      <c r="A17" s="446"/>
      <c r="B17" s="453"/>
      <c r="C17" s="454"/>
      <c r="D17" s="455"/>
      <c r="E17" s="455"/>
      <c r="F17" s="455"/>
      <c r="G17" s="455"/>
      <c r="H17" s="455"/>
      <c r="I17" s="455"/>
      <c r="J17" s="455"/>
      <c r="K17" s="455"/>
      <c r="L17" s="455"/>
      <c r="M17" s="455"/>
      <c r="N17" s="455"/>
      <c r="O17" s="455"/>
      <c r="P17" s="455"/>
      <c r="Q17" s="455"/>
      <c r="R17" s="455"/>
      <c r="S17" s="455"/>
      <c r="T17" s="455"/>
      <c r="U17" s="455"/>
      <c r="V17" s="455"/>
      <c r="W17" s="455"/>
      <c r="X17" s="456"/>
      <c r="Z17" s="451" t="s">
        <v>77</v>
      </c>
      <c r="AA17" s="458">
        <f>+CONTROL!C45</f>
        <v>1.2E-2</v>
      </c>
    </row>
    <row r="18" spans="1:27" ht="12" customHeight="1" x14ac:dyDescent="0.25">
      <c r="A18" s="446"/>
      <c r="B18" s="453" t="s">
        <v>79</v>
      </c>
      <c r="C18" s="454"/>
      <c r="D18" s="455">
        <f t="shared" ref="D18:W18" si="3">+D41</f>
        <v>0</v>
      </c>
      <c r="E18" s="455">
        <f t="shared" si="3"/>
        <v>253536197.45667028</v>
      </c>
      <c r="F18" s="455">
        <f t="shared" si="3"/>
        <v>2598841275.6801848</v>
      </c>
      <c r="G18" s="455">
        <f t="shared" si="3"/>
        <v>1169175593.0913811</v>
      </c>
      <c r="H18" s="455">
        <f t="shared" si="3"/>
        <v>2968174788.1129489</v>
      </c>
      <c r="I18" s="455">
        <f t="shared" si="3"/>
        <v>2397032388.7372274</v>
      </c>
      <c r="J18" s="455">
        <f t="shared" si="3"/>
        <v>1575013568.6199074</v>
      </c>
      <c r="K18" s="455">
        <f t="shared" si="3"/>
        <v>1786595340.9238596</v>
      </c>
      <c r="L18" s="455">
        <f t="shared" si="3"/>
        <v>3031962582.9258556</v>
      </c>
      <c r="M18" s="455">
        <f t="shared" si="3"/>
        <v>5311305718.2209692</v>
      </c>
      <c r="N18" s="455">
        <f t="shared" si="3"/>
        <v>5542506833.5253487</v>
      </c>
      <c r="O18" s="455">
        <f t="shared" si="3"/>
        <v>5780643982.2888603</v>
      </c>
      <c r="P18" s="455">
        <f t="shared" si="3"/>
        <v>6025925245.515276</v>
      </c>
      <c r="Q18" s="455">
        <f t="shared" si="3"/>
        <v>6278564946.6384878</v>
      </c>
      <c r="R18" s="455">
        <f t="shared" si="3"/>
        <v>6538783838.7953939</v>
      </c>
      <c r="S18" s="455">
        <f t="shared" si="3"/>
        <v>6806809297.7170057</v>
      </c>
      <c r="T18" s="455">
        <f t="shared" si="3"/>
        <v>7082875520.4062681</v>
      </c>
      <c r="U18" s="455">
        <f t="shared" si="3"/>
        <v>7367223729.7762079</v>
      </c>
      <c r="V18" s="455">
        <f t="shared" si="3"/>
        <v>7660102385.427247</v>
      </c>
      <c r="W18" s="455">
        <f t="shared" si="3"/>
        <v>7961767400.7478151</v>
      </c>
      <c r="X18" s="456">
        <f>SUM(D18:W18)</f>
        <v>88136840634.606918</v>
      </c>
      <c r="Z18" s="451" t="s">
        <v>252</v>
      </c>
      <c r="AA18" s="458">
        <v>5.9999999999999995E-4</v>
      </c>
    </row>
    <row r="19" spans="1:27" ht="12" customHeight="1" x14ac:dyDescent="0.25">
      <c r="A19" s="446"/>
      <c r="B19" s="453"/>
      <c r="C19" s="454"/>
      <c r="D19" s="455"/>
      <c r="E19" s="455"/>
      <c r="F19" s="455"/>
      <c r="G19" s="455"/>
      <c r="H19" s="455"/>
      <c r="I19" s="455"/>
      <c r="J19" s="455"/>
      <c r="K19" s="455"/>
      <c r="L19" s="455"/>
      <c r="M19" s="455"/>
      <c r="N19" s="455"/>
      <c r="O19" s="455"/>
      <c r="P19" s="455"/>
      <c r="Q19" s="455"/>
      <c r="R19" s="455"/>
      <c r="S19" s="455"/>
      <c r="T19" s="455"/>
      <c r="U19" s="455"/>
      <c r="V19" s="455"/>
      <c r="W19" s="455"/>
      <c r="X19" s="456"/>
      <c r="Z19" s="451" t="s">
        <v>79</v>
      </c>
      <c r="AA19" s="458">
        <f>+CONTROL!C46</f>
        <v>0.21</v>
      </c>
    </row>
    <row r="20" spans="1:27" ht="12" customHeight="1" x14ac:dyDescent="0.25">
      <c r="A20" s="446"/>
      <c r="B20" s="453" t="s">
        <v>89</v>
      </c>
      <c r="C20" s="454"/>
      <c r="D20" s="455">
        <f>+FLUJO!W97/(1+IMPUESTOS!AA19)*IMPUESTOS!AA26/5</f>
        <v>462833454.76363641</v>
      </c>
      <c r="E20" s="455">
        <f>+D20</f>
        <v>462833454.76363641</v>
      </c>
      <c r="F20" s="455">
        <f>+E20</f>
        <v>462833454.76363641</v>
      </c>
      <c r="G20" s="455">
        <f>+F20</f>
        <v>462833454.76363641</v>
      </c>
      <c r="H20" s="455">
        <f>+G20</f>
        <v>462833454.76363641</v>
      </c>
      <c r="I20" s="455"/>
      <c r="J20" s="455"/>
      <c r="K20" s="455"/>
      <c r="L20" s="455"/>
      <c r="M20" s="455"/>
      <c r="N20" s="455"/>
      <c r="O20" s="455"/>
      <c r="P20" s="455"/>
      <c r="Q20" s="455"/>
      <c r="R20" s="455"/>
      <c r="S20" s="455"/>
      <c r="T20" s="455"/>
      <c r="U20" s="455"/>
      <c r="V20" s="455"/>
      <c r="W20" s="455"/>
      <c r="X20" s="456">
        <f>SUM(D20:W20)</f>
        <v>2314167273.818182</v>
      </c>
      <c r="Z20" s="451" t="s">
        <v>80</v>
      </c>
      <c r="AA20" s="458">
        <f>+CONTROL!C47</f>
        <v>0.11</v>
      </c>
    </row>
    <row r="21" spans="1:27" ht="12" customHeight="1" x14ac:dyDescent="0.25">
      <c r="A21" s="446"/>
      <c r="B21" s="453"/>
      <c r="C21" s="454"/>
      <c r="D21" s="455"/>
      <c r="E21" s="455"/>
      <c r="F21" s="455"/>
      <c r="G21" s="455"/>
      <c r="H21" s="455"/>
      <c r="I21" s="455"/>
      <c r="J21" s="455"/>
      <c r="K21" s="455"/>
      <c r="L21" s="455"/>
      <c r="M21" s="455"/>
      <c r="N21" s="455"/>
      <c r="O21" s="455"/>
      <c r="P21" s="455"/>
      <c r="Q21" s="455"/>
      <c r="R21" s="455"/>
      <c r="S21" s="455"/>
      <c r="T21" s="455"/>
      <c r="U21" s="455"/>
      <c r="V21" s="455"/>
      <c r="W21" s="455"/>
      <c r="X21" s="456"/>
      <c r="Z21" s="451" t="s">
        <v>87</v>
      </c>
      <c r="AA21" s="458">
        <f>+CONTROL!C52</f>
        <v>0.21</v>
      </c>
    </row>
    <row r="22" spans="1:27" ht="12" customHeight="1" x14ac:dyDescent="0.25">
      <c r="A22" s="446"/>
      <c r="B22" s="453" t="s">
        <v>90</v>
      </c>
      <c r="C22" s="454"/>
      <c r="D22" s="455">
        <f>+((SUM(FLUJO!C73:C75))/(1+IMPUESTOS!$AA$19))*IMPUESTOS!$AA$27</f>
        <v>0</v>
      </c>
      <c r="E22" s="455">
        <f>+((FLUJO!D77)/(1+IMPUESTOS!$AA$19))*IMPUESTOS!$AA$27</f>
        <v>144851028.09917358</v>
      </c>
      <c r="F22" s="455">
        <f>+((FLUJO!E77)/(1+IMPUESTOS!$AA$19))*IMPUESTOS!$AA$27</f>
        <v>149196558.94214877</v>
      </c>
      <c r="G22" s="455">
        <f>+((FLUJO!F77)/(1+IMPUESTOS!$AA$19))*IMPUESTOS!$AA$27</f>
        <v>153672455.71041322</v>
      </c>
      <c r="H22" s="455">
        <f>+((FLUJO!G77)/(1+IMPUESTOS!$AA$19))*IMPUESTOS!$AA$27</f>
        <v>158282629.38172564</v>
      </c>
      <c r="I22" s="455">
        <f>+((FLUJO!H77)/(1+IMPUESTOS!$AA$19))*IMPUESTOS!$AA$27</f>
        <v>163031108.26317739</v>
      </c>
      <c r="J22" s="455">
        <f>+((FLUJO!I77)/(1+IMPUESTOS!$AA$19))*IMPUESTOS!$AA$27</f>
        <v>167922041.51107273</v>
      </c>
      <c r="K22" s="455">
        <f>+((FLUJO!J77)/(1+IMPUESTOS!$AA$19))*IMPUESTOS!$AA$27</f>
        <v>172959702.75640491</v>
      </c>
      <c r="L22" s="455">
        <f>+((FLUJO!K77)/(1+IMPUESTOS!$AA$19))*IMPUESTOS!$AA$27</f>
        <v>178148493.83909711</v>
      </c>
      <c r="M22" s="455">
        <f>+((FLUJO!L77)/(1+IMPUESTOS!$AA$19))*IMPUESTOS!$AA$27</f>
        <v>183492948.65426999</v>
      </c>
      <c r="N22" s="455">
        <f>+((FLUJO!M77)/(1+IMPUESTOS!$AA$19))*IMPUESTOS!$AA$27</f>
        <v>188997737.1138981</v>
      </c>
      <c r="O22" s="455">
        <f>+((FLUJO!N77)/(1+IMPUESTOS!$AA$19))*IMPUESTOS!$AA$27</f>
        <v>194667669.22731504</v>
      </c>
      <c r="P22" s="455">
        <f>+((FLUJO!O77)/(1+IMPUESTOS!$AA$19))*IMPUESTOS!$AA$27</f>
        <v>200507699.30413449</v>
      </c>
      <c r="Q22" s="455">
        <f>+((FLUJO!P77)/(1+IMPUESTOS!$AA$19))*IMPUESTOS!$AA$27</f>
        <v>206522930.28325853</v>
      </c>
      <c r="R22" s="455">
        <f>+((FLUJO!Q77)/(1+IMPUESTOS!$AA$19))*IMPUESTOS!$AA$27</f>
        <v>212718618.19175628</v>
      </c>
      <c r="S22" s="455">
        <f>+((FLUJO!R77)/(1+IMPUESTOS!$AA$19))*IMPUESTOS!$AA$27</f>
        <v>219100176.73750901</v>
      </c>
      <c r="T22" s="455">
        <f>+((FLUJO!S77)/(1+IMPUESTOS!$AA$19))*IMPUESTOS!$AA$27</f>
        <v>225673182.03963429</v>
      </c>
      <c r="U22" s="455">
        <f>+((FLUJO!T77)/(1+IMPUESTOS!$AA$19))*IMPUESTOS!$AA$27</f>
        <v>232443377.50082329</v>
      </c>
      <c r="V22" s="455">
        <f>+((FLUJO!U77)/(1+IMPUESTOS!$AA$19))*IMPUESTOS!$AA$27</f>
        <v>239416678.82584801</v>
      </c>
      <c r="W22" s="455">
        <f>+((FLUJO!V77)/(1+IMPUESTOS!$AA$19))*IMPUESTOS!$AA$27</f>
        <v>246599179.19062349</v>
      </c>
      <c r="X22" s="456">
        <f>SUM(D22:W22)</f>
        <v>3638204215.5722833</v>
      </c>
      <c r="Z22" s="451" t="s">
        <v>82</v>
      </c>
      <c r="AA22" s="458">
        <f>+CONTROL!C48</f>
        <v>0.15</v>
      </c>
    </row>
    <row r="23" spans="1:27" ht="12" customHeight="1" x14ac:dyDescent="0.25">
      <c r="A23" s="446"/>
      <c r="B23" s="453"/>
      <c r="C23" s="454"/>
      <c r="D23" s="455"/>
      <c r="E23" s="455"/>
      <c r="F23" s="455"/>
      <c r="G23" s="455"/>
      <c r="H23" s="455"/>
      <c r="I23" s="455"/>
      <c r="J23" s="455"/>
      <c r="K23" s="455"/>
      <c r="L23" s="455"/>
      <c r="M23" s="455"/>
      <c r="N23" s="455"/>
      <c r="O23" s="455"/>
      <c r="P23" s="455"/>
      <c r="Q23" s="455"/>
      <c r="R23" s="455"/>
      <c r="S23" s="455"/>
      <c r="T23" s="455"/>
      <c r="U23" s="455"/>
      <c r="V23" s="455"/>
      <c r="W23" s="455"/>
      <c r="X23" s="456"/>
      <c r="Z23" s="451" t="s">
        <v>83</v>
      </c>
      <c r="AA23" s="458">
        <f>+CONTROL!C49</f>
        <v>0.08</v>
      </c>
    </row>
    <row r="24" spans="1:27" ht="12" customHeight="1" x14ac:dyDescent="0.25">
      <c r="A24" s="446"/>
      <c r="B24" s="453" t="s">
        <v>253</v>
      </c>
      <c r="C24" s="454"/>
      <c r="D24" s="455">
        <f>+FLUJO!C77*IMPUESTOS!$AA$17</f>
        <v>280014240.13200003</v>
      </c>
      <c r="E24" s="455">
        <f>+FLUJO!D77*IMPUESTOS!$AA$17</f>
        <v>420647385.60000002</v>
      </c>
      <c r="F24" s="455">
        <f>+FLUJO!E77*IMPUESTOS!$AA$17</f>
        <v>433266807.16799998</v>
      </c>
      <c r="G24" s="455">
        <f>+FLUJO!F77*IMPUESTOS!$AA$17</f>
        <v>446264811.38304001</v>
      </c>
      <c r="H24" s="455">
        <f>+FLUJO!G77*IMPUESTOS!$AA$17</f>
        <v>459652755.72453123</v>
      </c>
      <c r="I24" s="455">
        <f>+FLUJO!H77*IMPUESTOS!$AA$17</f>
        <v>473442338.39626712</v>
      </c>
      <c r="J24" s="455">
        <f>+FLUJO!I77*IMPUESTOS!$AA$17</f>
        <v>487645608.54815519</v>
      </c>
      <c r="K24" s="455">
        <f>+FLUJO!J77*IMPUESTOS!$AA$17</f>
        <v>502274976.80459988</v>
      </c>
      <c r="L24" s="455">
        <f>+FLUJO!K77*IMPUESTOS!$AA$17</f>
        <v>517343226.10873795</v>
      </c>
      <c r="M24" s="455">
        <f>+FLUJO!L77*IMPUESTOS!$AA$17</f>
        <v>532863522.89200002</v>
      </c>
      <c r="N24" s="455">
        <f>+FLUJO!M77*IMPUESTOS!$AA$17</f>
        <v>548849428.57876003</v>
      </c>
      <c r="O24" s="455">
        <f>+FLUJO!N77*IMPUESTOS!$AA$17</f>
        <v>565314911.43612278</v>
      </c>
      <c r="P24" s="455">
        <f>+FLUJO!O77*IMPUESTOS!$AA$17</f>
        <v>582274358.77920651</v>
      </c>
      <c r="Q24" s="455">
        <f>+FLUJO!P77*IMPUESTOS!$AA$17</f>
        <v>599742589.54258275</v>
      </c>
      <c r="R24" s="455">
        <f>+FLUJO!Q77*IMPUESTOS!$AA$17</f>
        <v>617734867.22886026</v>
      </c>
      <c r="S24" s="455">
        <f>+FLUJO!R77*IMPUESTOS!$AA$17</f>
        <v>636266913.24572611</v>
      </c>
      <c r="T24" s="455">
        <f>+FLUJO!S77*IMPUESTOS!$AA$17</f>
        <v>655354920.64309788</v>
      </c>
      <c r="U24" s="455">
        <f>+FLUJO!T77*IMPUESTOS!$AA$17</f>
        <v>675015568.26239085</v>
      </c>
      <c r="V24" s="455">
        <f>+FLUJO!U77*IMPUESTOS!$AA$17</f>
        <v>695266035.31026256</v>
      </c>
      <c r="W24" s="455">
        <f>+FLUJO!V77*IMPUESTOS!$AA$17</f>
        <v>716124016.36957049</v>
      </c>
      <c r="X24" s="456">
        <f>SUM(D24:W24)</f>
        <v>10845359282.153908</v>
      </c>
      <c r="Z24" s="451" t="s">
        <v>84</v>
      </c>
      <c r="AA24" s="458">
        <f>+CONTROL!C50</f>
        <v>5.7000000000000002E-2</v>
      </c>
    </row>
    <row r="25" spans="1:27" ht="12" customHeight="1" x14ac:dyDescent="0.25">
      <c r="A25" s="446"/>
      <c r="B25" s="453"/>
      <c r="C25" s="454"/>
      <c r="D25" s="455"/>
      <c r="E25" s="455"/>
      <c r="F25" s="455"/>
      <c r="G25" s="455"/>
      <c r="H25" s="455"/>
      <c r="I25" s="455"/>
      <c r="J25" s="455"/>
      <c r="K25" s="455"/>
      <c r="L25" s="455"/>
      <c r="M25" s="455"/>
      <c r="N25" s="455"/>
      <c r="O25" s="455"/>
      <c r="P25" s="455"/>
      <c r="Q25" s="455"/>
      <c r="R25" s="455"/>
      <c r="S25" s="455"/>
      <c r="T25" s="455"/>
      <c r="U25" s="455"/>
      <c r="V25" s="455"/>
      <c r="W25" s="455"/>
      <c r="X25" s="456"/>
      <c r="Z25" s="451" t="s">
        <v>85</v>
      </c>
      <c r="AA25" s="458">
        <f>+CONTROL!C51</f>
        <v>0.18</v>
      </c>
    </row>
    <row r="26" spans="1:27" ht="12" customHeight="1" x14ac:dyDescent="0.25">
      <c r="B26" s="453" t="s">
        <v>254</v>
      </c>
      <c r="C26" s="454"/>
      <c r="D26" s="455">
        <f t="shared" ref="D26:W26" si="4">+D66</f>
        <v>0</v>
      </c>
      <c r="E26" s="455">
        <f t="shared" si="4"/>
        <v>4043714752.4096427</v>
      </c>
      <c r="F26" s="455">
        <f t="shared" si="4"/>
        <v>5789245175.5460672</v>
      </c>
      <c r="G26" s="455">
        <f t="shared" si="4"/>
        <v>4471424393.6397171</v>
      </c>
      <c r="H26" s="455">
        <f t="shared" si="4"/>
        <v>4398954591.3758354</v>
      </c>
      <c r="I26" s="455">
        <f t="shared" si="4"/>
        <v>4413333511.1661625</v>
      </c>
      <c r="J26" s="455">
        <f t="shared" si="4"/>
        <v>4514023037.3699017</v>
      </c>
      <c r="K26" s="455">
        <f t="shared" si="4"/>
        <v>4608243159.54634</v>
      </c>
      <c r="L26" s="455">
        <f t="shared" si="4"/>
        <v>4669888737.768878</v>
      </c>
      <c r="M26" s="455">
        <f t="shared" si="4"/>
        <v>5027345115.8449755</v>
      </c>
      <c r="N26" s="455">
        <f t="shared" si="4"/>
        <v>5395525185.2633572</v>
      </c>
      <c r="O26" s="455">
        <f t="shared" si="4"/>
        <v>5774750656.7642899</v>
      </c>
      <c r="P26" s="455">
        <f t="shared" si="4"/>
        <v>6165352892.4102535</v>
      </c>
      <c r="Q26" s="455">
        <f t="shared" si="4"/>
        <v>6567673195.1255922</v>
      </c>
      <c r="R26" s="455">
        <f t="shared" si="4"/>
        <v>6982063106.9223938</v>
      </c>
      <c r="S26" s="455">
        <f t="shared" si="4"/>
        <v>7408884716.0731001</v>
      </c>
      <c r="T26" s="455">
        <f t="shared" si="4"/>
        <v>7756913606.0809708</v>
      </c>
      <c r="U26" s="455">
        <f t="shared" si="4"/>
        <v>7965469004.7826691</v>
      </c>
      <c r="V26" s="455">
        <f t="shared" si="4"/>
        <v>7882284296.780962</v>
      </c>
      <c r="W26" s="455">
        <f t="shared" si="4"/>
        <v>6897117899.5007725</v>
      </c>
      <c r="X26" s="456">
        <f>SUM(D26:W26)</f>
        <v>110732207034.3719</v>
      </c>
      <c r="Z26" s="451" t="s">
        <v>89</v>
      </c>
      <c r="AA26" s="452">
        <f>+CONTROL!C53</f>
        <v>1.2E-2</v>
      </c>
    </row>
    <row r="27" spans="1:27" ht="12.75" customHeight="1" x14ac:dyDescent="0.25">
      <c r="B27" s="453"/>
      <c r="C27" s="454"/>
      <c r="D27" s="455"/>
      <c r="E27" s="455"/>
      <c r="F27" s="455"/>
      <c r="G27" s="455"/>
      <c r="H27" s="455"/>
      <c r="I27" s="455"/>
      <c r="J27" s="455"/>
      <c r="K27" s="455"/>
      <c r="L27" s="455"/>
      <c r="M27" s="455"/>
      <c r="N27" s="455"/>
      <c r="O27" s="455"/>
      <c r="P27" s="455"/>
      <c r="Q27" s="455"/>
      <c r="R27" s="455"/>
      <c r="S27" s="455"/>
      <c r="T27" s="455"/>
      <c r="U27" s="455"/>
      <c r="V27" s="455"/>
      <c r="W27" s="455"/>
      <c r="X27" s="456"/>
      <c r="Z27" s="451" t="s">
        <v>90</v>
      </c>
      <c r="AA27" s="452">
        <f>+CONTROL!C54</f>
        <v>5.0000000000000001E-3</v>
      </c>
    </row>
    <row r="28" spans="1:27" ht="13.5" customHeight="1" x14ac:dyDescent="0.25">
      <c r="B28" s="459" t="s">
        <v>255</v>
      </c>
      <c r="C28" s="460"/>
      <c r="D28" s="461">
        <f t="shared" ref="D28:W28" si="5">+SUM(D16:D26)</f>
        <v>742847694.89563644</v>
      </c>
      <c r="E28" s="461">
        <f t="shared" si="5"/>
        <v>6049837958.8249912</v>
      </c>
      <c r="F28" s="461">
        <f t="shared" si="5"/>
        <v>10179366066.810781</v>
      </c>
      <c r="G28" s="461">
        <f t="shared" si="5"/>
        <v>7471732987.140255</v>
      </c>
      <c r="H28" s="461">
        <f t="shared" si="5"/>
        <v>9239311366.2673054</v>
      </c>
      <c r="I28" s="461">
        <f t="shared" si="5"/>
        <v>8261994887.8787212</v>
      </c>
      <c r="J28" s="461">
        <f t="shared" si="5"/>
        <v>7584214463.6044006</v>
      </c>
      <c r="K28" s="461">
        <f t="shared" si="5"/>
        <v>7934871693.8132286</v>
      </c>
      <c r="L28" s="461">
        <f t="shared" si="5"/>
        <v>9288085509.8380547</v>
      </c>
      <c r="M28" s="461">
        <f t="shared" si="5"/>
        <v>11972472048.883564</v>
      </c>
      <c r="N28" s="461">
        <f t="shared" si="5"/>
        <v>12620867870.050854</v>
      </c>
      <c r="O28" s="461">
        <f t="shared" si="5"/>
        <v>13288715565.853165</v>
      </c>
      <c r="P28" s="461">
        <f t="shared" si="5"/>
        <v>13976598692.529543</v>
      </c>
      <c r="Q28" s="461">
        <f t="shared" si="5"/>
        <v>14685118313.006214</v>
      </c>
      <c r="R28" s="461">
        <f t="shared" si="5"/>
        <v>15414893522.097185</v>
      </c>
      <c r="S28" s="461">
        <f t="shared" si="5"/>
        <v>16166561987.460884</v>
      </c>
      <c r="T28" s="461">
        <f t="shared" si="5"/>
        <v>16849183139.368143</v>
      </c>
      <c r="U28" s="461">
        <f t="shared" si="5"/>
        <v>17402368567.82621</v>
      </c>
      <c r="V28" s="461">
        <f t="shared" si="5"/>
        <v>17674152790.47356</v>
      </c>
      <c r="W28" s="461">
        <f t="shared" si="5"/>
        <v>17054604391.761898</v>
      </c>
      <c r="X28" s="461">
        <f>SUM(D28:W28)</f>
        <v>233857799518.38458</v>
      </c>
      <c r="Y28" s="462"/>
      <c r="Z28" s="451" t="s">
        <v>256</v>
      </c>
      <c r="AA28" s="452">
        <v>0</v>
      </c>
    </row>
    <row r="29" spans="1:27" ht="12.75" customHeight="1" x14ac:dyDescent="0.2">
      <c r="B29" s="446"/>
      <c r="C29" s="446"/>
      <c r="D29" s="463"/>
      <c r="E29" s="463"/>
      <c r="F29" s="463"/>
      <c r="G29" s="463"/>
      <c r="H29" s="463"/>
      <c r="I29" s="463"/>
      <c r="J29" s="463"/>
      <c r="K29" s="463"/>
      <c r="L29" s="463"/>
      <c r="M29" s="463"/>
      <c r="N29" s="463"/>
      <c r="O29" s="463"/>
      <c r="P29" s="463"/>
      <c r="Q29" s="463"/>
      <c r="R29" s="463"/>
      <c r="S29" s="463"/>
      <c r="T29" s="463"/>
      <c r="U29" s="463"/>
      <c r="V29" s="463"/>
      <c r="W29" s="463"/>
      <c r="X29" s="463"/>
      <c r="Z29" s="451" t="s">
        <v>91</v>
      </c>
      <c r="AA29" s="464">
        <f>+CONTROL!C55</f>
        <v>1</v>
      </c>
    </row>
    <row r="30" spans="1:27" ht="12" customHeight="1" x14ac:dyDescent="0.25">
      <c r="B30" s="465" t="s">
        <v>257</v>
      </c>
      <c r="C30" s="446"/>
      <c r="D30" s="463"/>
      <c r="E30" s="463"/>
      <c r="F30" s="463"/>
      <c r="G30" s="463"/>
      <c r="H30" s="463"/>
      <c r="I30" s="463"/>
      <c r="J30" s="463"/>
      <c r="K30" s="463"/>
      <c r="L30" s="463"/>
      <c r="M30" s="463"/>
      <c r="N30" s="463"/>
      <c r="O30" s="463"/>
      <c r="P30" s="463"/>
      <c r="Q30" s="463"/>
      <c r="R30" s="463"/>
      <c r="S30" s="463"/>
      <c r="T30" s="463"/>
      <c r="U30" s="463"/>
      <c r="V30" s="463"/>
      <c r="W30" s="463"/>
      <c r="X30" s="463"/>
      <c r="Z30" s="451" t="s">
        <v>92</v>
      </c>
      <c r="AA30" s="466">
        <f>+CONTROL!C56</f>
        <v>0.3</v>
      </c>
    </row>
    <row r="31" spans="1:27" ht="12.75" customHeight="1" x14ac:dyDescent="0.2">
      <c r="B31" s="446"/>
      <c r="C31" s="446"/>
      <c r="D31" s="463"/>
      <c r="E31" s="463"/>
      <c r="F31" s="463"/>
      <c r="G31" s="463"/>
      <c r="H31" s="463"/>
      <c r="I31" s="463"/>
      <c r="J31" s="463"/>
      <c r="K31" s="463"/>
      <c r="L31" s="463"/>
      <c r="M31" s="463"/>
      <c r="N31" s="463"/>
      <c r="O31" s="463"/>
      <c r="P31" s="463"/>
      <c r="Q31" s="463"/>
      <c r="R31" s="463"/>
      <c r="S31" s="463"/>
      <c r="T31" s="463"/>
      <c r="U31" s="463"/>
      <c r="V31" s="463"/>
      <c r="W31" s="463"/>
      <c r="X31" s="463"/>
    </row>
    <row r="32" spans="1:27" ht="12.75" customHeight="1" x14ac:dyDescent="0.25">
      <c r="B32" s="447"/>
      <c r="C32" s="448"/>
      <c r="D32" s="467"/>
      <c r="E32" s="467"/>
      <c r="F32" s="467"/>
      <c r="G32" s="467"/>
      <c r="H32" s="467"/>
      <c r="I32" s="467"/>
      <c r="J32" s="467"/>
      <c r="K32" s="467"/>
      <c r="L32" s="467"/>
      <c r="M32" s="467"/>
      <c r="N32" s="467"/>
      <c r="O32" s="467"/>
      <c r="P32" s="467"/>
      <c r="Q32" s="467"/>
      <c r="R32" s="467"/>
      <c r="S32" s="467"/>
      <c r="T32" s="467"/>
      <c r="U32" s="467"/>
      <c r="V32" s="467"/>
      <c r="W32" s="467"/>
      <c r="X32" s="468"/>
      <c r="Y32" s="469"/>
    </row>
    <row r="33" spans="2:27" ht="12" customHeight="1" x14ac:dyDescent="0.25">
      <c r="B33" s="453" t="s">
        <v>258</v>
      </c>
      <c r="C33" s="454"/>
      <c r="D33" s="470">
        <f>(FLUJO!C80*$AA$22)/(1+$AA$22)+(FLUJO!C81*$AA$23)/(1+$AA$23)+(FLUJO!C82*$AA$24)/(1+$AA$24)+(FLUJO!C83*$AA$25)/(1+$AA$25)+(SUM(FLUJO!C97)*IMPUESTOS!$AA$21)/(1+IMPUESTOS!$AA$21)+(FLUJO!C99*$AA$19)/(1+$AA$19)</f>
        <v>4081308667.0154672</v>
      </c>
      <c r="E33" s="470">
        <f>(FLUJO!D80*$AA$22)/(1+$AA$22)+(FLUJO!D81*$AA$23)/(1+$AA$23)+(FLUJO!D82*$AA$24)/(1+$AA$24)+(FLUJO!D83*$AA$25)/(1+$AA$25)+(SUM(FLUJO!D97)*IMPUESTOS!$AA$21)/(1+IMPUESTOS!$AA$21)+(FLUJO!D99*$AA$19)/(1+$AA$19)</f>
        <v>1748898315.6931529</v>
      </c>
      <c r="F33" s="470">
        <f>(FLUJO!E80*$AA$22)/(1+$AA$22)+(FLUJO!E81*$AA$23)/(1+$AA$23)+(FLUJO!E82*$AA$24)/(1+$AA$24)+(FLUJO!E83*$AA$25)/(1+$AA$25)+(SUM(FLUJO!E97)*IMPUESTOS!$AA$21)/(1+IMPUESTOS!$AA$21)+(FLUJO!E99*$AA$19)/(1+$AA$19)</f>
        <v>3667414199.8900628</v>
      </c>
      <c r="G33" s="470">
        <f>(FLUJO!F80*$AA$22)/(1+$AA$22)+(FLUJO!F81*$AA$23)/(1+$AA$23)+(FLUJO!F82*$AA$24)/(1+$AA$24)+(FLUJO!F83*$AA$25)/(1+$AA$25)+(SUM(FLUJO!F97)*IMPUESTOS!$AA$21)/(1+IMPUESTOS!$AA$21)+(FLUJO!F99*$AA$19)/(1+$AA$19)</f>
        <v>5285067546.7459736</v>
      </c>
      <c r="H33" s="470">
        <f>(FLUJO!G80*$AA$22)/(1+$AA$22)+(FLUJO!G81*$AA$23)/(1+$AA$23)+(FLUJO!G82*$AA$24)/(1+$AA$24)+(FLUJO!G83*$AA$25)/(1+$AA$25)+(SUM(FLUJO!G97)*IMPUESTOS!$AA$21)/(1+IMPUESTOS!$AA$21)+(FLUJO!G99*$AA$19)/(1+$AA$19)</f>
        <v>3679695645.9195275</v>
      </c>
      <c r="I33" s="470">
        <f>(FLUJO!H80*$AA$22)/(1+$AA$22)+(FLUJO!H81*$AA$23)/(1+$AA$23)+(FLUJO!H82*$AA$24)/(1+$AA$24)+(FLUJO!H83*$AA$25)/(1+$AA$25)+(SUM(FLUJO!H97)*IMPUESTOS!$AA$21)/(1+IMPUESTOS!$AA$21)+(FLUJO!H99*$AA$19)/(1+$AA$19)</f>
        <v>4450274158.3162222</v>
      </c>
      <c r="J33" s="470">
        <f>(FLUJO!I80*$AA$22)/(1+$AA$22)+(FLUJO!I81*$AA$23)/(1+$AA$23)+(FLUJO!I82*$AA$24)/(1+$AA$24)+(FLUJO!I83*$AA$25)/(1+$AA$25)+(SUM(FLUJO!I97)*IMPUESTOS!$AA$21)/(1+IMPUESTOS!$AA$21)+(FLUJO!I99*$AA$19)/(1+$AA$19)</f>
        <v>5477712174.8451471</v>
      </c>
      <c r="K33" s="470">
        <f>(FLUJO!J80*$AA$22)/(1+$AA$22)+(FLUJO!J81*$AA$23)/(1+$AA$23)+(FLUJO!J82*$AA$24)/(1+$AA$24)+(FLUJO!J83*$AA$25)/(1+$AA$25)+(SUM(FLUJO!J97)*IMPUESTOS!$AA$21)/(1+IMPUESTOS!$AA$21)+(FLUJO!J99*$AA$19)/(1+$AA$19)</f>
        <v>5477712174.8451471</v>
      </c>
      <c r="L33" s="470">
        <f>(FLUJO!K80*$AA$22)/(1+$AA$22)+(FLUJO!K81*$AA$23)/(1+$AA$23)+(FLUJO!K82*$AA$24)/(1+$AA$24)+(FLUJO!K83*$AA$25)/(1+$AA$25)+(SUM(FLUJO!K97)*IMPUESTOS!$AA$21)/(1+IMPUESTOS!$AA$21)+(FLUJO!K99*$AA$19)/(1+$AA$19)</f>
        <v>4450274158.3162222</v>
      </c>
      <c r="M33" s="470">
        <f>(FLUJO!L80*$AA$22)/(1+$AA$22)+(FLUJO!L81*$AA$23)/(1+$AA$23)+(FLUJO!L82*$AA$24)/(1+$AA$24)+(FLUJO!L83*$AA$25)/(1+$AA$25)+(SUM(FLUJO!L97)*IMPUESTOS!$AA$21)/(1+IMPUESTOS!$AA$21)+(FLUJO!L99*$AA$19)/(1+$AA$19)</f>
        <v>2395398125.2583704</v>
      </c>
      <c r="N33" s="470">
        <f>(FLUJO!M80*$AA$22)/(1+$AA$22)+(FLUJO!M81*$AA$23)/(1+$AA$23)+(FLUJO!M82*$AA$24)/(1+$AA$24)+(FLUJO!M83*$AA$25)/(1+$AA$25)+(SUM(FLUJO!M97)*IMPUESTOS!$AA$21)/(1+IMPUESTOS!$AA$21)+(FLUJO!M99*$AA$19)/(1+$AA$19)</f>
        <v>2395398125.2583704</v>
      </c>
      <c r="O33" s="470">
        <f>(FLUJO!N80*$AA$22)/(1+$AA$22)+(FLUJO!N81*$AA$23)/(1+$AA$23)+(FLUJO!N82*$AA$24)/(1+$AA$24)+(FLUJO!N83*$AA$25)/(1+$AA$25)+(SUM(FLUJO!N97)*IMPUESTOS!$AA$21)/(1+IMPUESTOS!$AA$21)+(FLUJO!N99*$AA$19)/(1+$AA$19)</f>
        <v>2395398125.2583704</v>
      </c>
      <c r="P33" s="470">
        <f>(FLUJO!O80*$AA$22)/(1+$AA$22)+(FLUJO!O81*$AA$23)/(1+$AA$23)+(FLUJO!O82*$AA$24)/(1+$AA$24)+(FLUJO!O83*$AA$25)/(1+$AA$25)+(SUM(FLUJO!O97)*IMPUESTOS!$AA$21)/(1+IMPUESTOS!$AA$21)+(FLUJO!O99*$AA$19)/(1+$AA$19)</f>
        <v>2395398125.2583704</v>
      </c>
      <c r="Q33" s="470">
        <f>(FLUJO!P80*$AA$22)/(1+$AA$22)+(FLUJO!P81*$AA$23)/(1+$AA$23)+(FLUJO!P82*$AA$24)/(1+$AA$24)+(FLUJO!P83*$AA$25)/(1+$AA$25)+(SUM(FLUJO!P97)*IMPUESTOS!$AA$21)/(1+IMPUESTOS!$AA$21)+(FLUJO!P99*$AA$19)/(1+$AA$19)</f>
        <v>2395398125.2583704</v>
      </c>
      <c r="R33" s="470">
        <f>(FLUJO!Q80*$AA$22)/(1+$AA$22)+(FLUJO!Q81*$AA$23)/(1+$AA$23)+(FLUJO!Q82*$AA$24)/(1+$AA$24)+(FLUJO!Q83*$AA$25)/(1+$AA$25)+(SUM(FLUJO!Q97)*IMPUESTOS!$AA$21)/(1+IMPUESTOS!$AA$21)+(FLUJO!Q99*$AA$19)/(1+$AA$19)</f>
        <v>2395398125.2583704</v>
      </c>
      <c r="S33" s="470">
        <f>(FLUJO!R80*$AA$22)/(1+$AA$22)+(FLUJO!R81*$AA$23)/(1+$AA$23)+(FLUJO!R82*$AA$24)/(1+$AA$24)+(FLUJO!R83*$AA$25)/(1+$AA$25)+(SUM(FLUJO!R97)*IMPUESTOS!$AA$21)/(1+IMPUESTOS!$AA$21)+(FLUJO!R99*$AA$19)/(1+$AA$19)</f>
        <v>2395398125.2583704</v>
      </c>
      <c r="T33" s="470">
        <f>(FLUJO!S80*$AA$22)/(1+$AA$22)+(FLUJO!S81*$AA$23)/(1+$AA$23)+(FLUJO!S82*$AA$24)/(1+$AA$24)+(FLUJO!S83*$AA$25)/(1+$AA$25)+(SUM(FLUJO!S97)*IMPUESTOS!$AA$21)/(1+IMPUESTOS!$AA$21)+(FLUJO!S99*$AA$19)/(1+$AA$19)</f>
        <v>2395398125.2583704</v>
      </c>
      <c r="U33" s="470">
        <f>(FLUJO!T80*$AA$22)/(1+$AA$22)+(FLUJO!T81*$AA$23)/(1+$AA$23)+(FLUJO!T82*$AA$24)/(1+$AA$24)+(FLUJO!T83*$AA$25)/(1+$AA$25)+(SUM(FLUJO!T97)*IMPUESTOS!$AA$21)/(1+IMPUESTOS!$AA$21)+(FLUJO!T99*$AA$19)/(1+$AA$19)</f>
        <v>2395398125.2583704</v>
      </c>
      <c r="V33" s="470">
        <f>(FLUJO!U80*$AA$22)/(1+$AA$22)+(FLUJO!U81*$AA$23)/(1+$AA$23)+(FLUJO!U82*$AA$24)/(1+$AA$24)+(FLUJO!U83*$AA$25)/(1+$AA$25)+(SUM(FLUJO!U97)*IMPUESTOS!$AA$21)/(1+IMPUESTOS!$AA$21)+(FLUJO!U99*$AA$19)/(1+$AA$19)</f>
        <v>2395398125.2583704</v>
      </c>
      <c r="W33" s="470">
        <f>(FLUJO!V80*$AA$22)/(1+$AA$22)+(FLUJO!V81*$AA$23)/(1+$AA$23)+(FLUJO!V82*$AA$24)/(1+$AA$24)+(FLUJO!V83*$AA$25)/(1+$AA$25)+(SUM(FLUJO!V97)*IMPUESTOS!$AA$21)/(1+IMPUESTOS!$AA$21)+(FLUJO!V99*$AA$19)/(1+$AA$19)</f>
        <v>2395398125.2583704</v>
      </c>
      <c r="X33" s="456">
        <f>SUM(D33:W33)</f>
        <v>64667736419.428986</v>
      </c>
      <c r="Y33" s="469"/>
      <c r="Z33" s="469"/>
      <c r="AA33" s="471"/>
    </row>
    <row r="34" spans="2:27" ht="12" customHeight="1" x14ac:dyDescent="0.25">
      <c r="B34" s="453"/>
      <c r="C34" s="454"/>
      <c r="D34" s="455"/>
      <c r="E34" s="455"/>
      <c r="F34" s="455"/>
      <c r="G34" s="455"/>
      <c r="H34" s="455"/>
      <c r="I34" s="455"/>
      <c r="J34" s="455"/>
      <c r="K34" s="455"/>
      <c r="L34" s="455"/>
      <c r="M34" s="455"/>
      <c r="N34" s="455"/>
      <c r="O34" s="455"/>
      <c r="P34" s="455"/>
      <c r="Q34" s="455"/>
      <c r="R34" s="455"/>
      <c r="S34" s="455"/>
      <c r="T34" s="455"/>
      <c r="U34" s="455"/>
      <c r="V34" s="455"/>
      <c r="W34" s="455"/>
      <c r="X34" s="456"/>
    </row>
    <row r="35" spans="2:27" ht="12" customHeight="1" x14ac:dyDescent="0.25">
      <c r="B35" s="453" t="s">
        <v>259</v>
      </c>
      <c r="C35" s="454"/>
      <c r="D35" s="455">
        <f>+(SUM(FLUJO!C73:C75)*IMPUESTOS!$AA$19)/(1+IMPUESTOS!$AA$19)</f>
        <v>0</v>
      </c>
      <c r="E35" s="455">
        <f>+(SUM(FLUJO!D73:D75)*IMPUESTOS!$AA$19)/(1+IMPUESTOS!$AA$19)</f>
        <v>6083743180.1652899</v>
      </c>
      <c r="F35" s="455">
        <f>+(SUM(FLUJO!E73:E75)*IMPUESTOS!$AA$19)/(1+IMPUESTOS!$AA$19)</f>
        <v>6266255475.5702477</v>
      </c>
      <c r="G35" s="455">
        <f>+(SUM(FLUJO!F73:F75)*IMPUESTOS!$AA$19)/(1+IMPUESTOS!$AA$19)</f>
        <v>6454243139.8373547</v>
      </c>
      <c r="H35" s="455">
        <f>+(SUM(FLUJO!G73:G75)*IMPUESTOS!$AA$19)/(1+IMPUESTOS!$AA$19)</f>
        <v>6647870434.0324764</v>
      </c>
      <c r="I35" s="455">
        <f>+(SUM(FLUJO!H73:H75)*IMPUESTOS!$AA$19)/(1+IMPUESTOS!$AA$19)</f>
        <v>6847306547.0534496</v>
      </c>
      <c r="J35" s="455">
        <f>+(SUM(FLUJO!I73:I75)*IMPUESTOS!$AA$19)/(1+IMPUESTOS!$AA$19)</f>
        <v>7052725743.4650545</v>
      </c>
      <c r="K35" s="455">
        <f>+(SUM(FLUJO!J73:J75)*IMPUESTOS!$AA$19)/(1+IMPUESTOS!$AA$19)</f>
        <v>7264307515.7690067</v>
      </c>
      <c r="L35" s="455">
        <f>+(SUM(FLUJO!K73:K75)*IMPUESTOS!$AA$19)/(1+IMPUESTOS!$AA$19)</f>
        <v>7482236741.2420778</v>
      </c>
      <c r="M35" s="455">
        <f>+(SUM(FLUJO!L73:L75)*IMPUESTOS!$AA$19)/(1+IMPUESTOS!$AA$19)</f>
        <v>7706703843.4793396</v>
      </c>
      <c r="N35" s="455">
        <f>+(SUM(FLUJO!M73:M75)*IMPUESTOS!$AA$19)/(1+IMPUESTOS!$AA$19)</f>
        <v>7937904958.7837191</v>
      </c>
      <c r="O35" s="455">
        <f>+(SUM(FLUJO!N73:N75)*IMPUESTOS!$AA$19)/(1+IMPUESTOS!$AA$19)</f>
        <v>8176042107.5472307</v>
      </c>
      <c r="P35" s="455">
        <f>+(SUM(FLUJO!O73:O75)*IMPUESTOS!$AA$19)/(1+IMPUESTOS!$AA$19)</f>
        <v>8421323370.7736464</v>
      </c>
      <c r="Q35" s="455">
        <f>+(SUM(FLUJO!P73:P75)*IMPUESTOS!$AA$19)/(1+IMPUESTOS!$AA$19)</f>
        <v>8673963071.8968582</v>
      </c>
      <c r="R35" s="455">
        <f>+(SUM(FLUJO!Q73:Q75)*IMPUESTOS!$AA$19)/(1+IMPUESTOS!$AA$19)</f>
        <v>8934181964.0537643</v>
      </c>
      <c r="S35" s="455">
        <f>+(SUM(FLUJO!R73:R75)*IMPUESTOS!$AA$19)/(1+IMPUESTOS!$AA$19)</f>
        <v>9202207422.9753761</v>
      </c>
      <c r="T35" s="455">
        <f>+(SUM(FLUJO!S73:S75)*IMPUESTOS!$AA$19)/(1+IMPUESTOS!$AA$19)</f>
        <v>9478273645.6646385</v>
      </c>
      <c r="U35" s="455">
        <f>+(SUM(FLUJO!T73:T75)*IMPUESTOS!$AA$19)/(1+IMPUESTOS!$AA$19)</f>
        <v>9762621855.0345783</v>
      </c>
      <c r="V35" s="455">
        <f>+(SUM(FLUJO!U73:U75)*IMPUESTOS!$AA$19)/(1+IMPUESTOS!$AA$19)</f>
        <v>10055500510.685617</v>
      </c>
      <c r="W35" s="455">
        <f>+(SUM(FLUJO!V73:V75)*IMPUESTOS!$AA$19)/(1+IMPUESTOS!$AA$19)</f>
        <v>10357165526.006186</v>
      </c>
      <c r="X35" s="456">
        <f>SUM(D35:W35)</f>
        <v>152804577054.03592</v>
      </c>
    </row>
    <row r="36" spans="2:27" ht="12" customHeight="1" x14ac:dyDescent="0.25">
      <c r="B36" s="453"/>
      <c r="C36" s="454"/>
      <c r="D36" s="455"/>
      <c r="E36" s="455"/>
      <c r="F36" s="455"/>
      <c r="G36" s="455"/>
      <c r="H36" s="455"/>
      <c r="I36" s="455"/>
      <c r="J36" s="455"/>
      <c r="K36" s="455"/>
      <c r="L36" s="455"/>
      <c r="M36" s="455"/>
      <c r="N36" s="455"/>
      <c r="O36" s="455"/>
      <c r="P36" s="455"/>
      <c r="Q36" s="455"/>
      <c r="R36" s="455"/>
      <c r="S36" s="455"/>
      <c r="T36" s="455"/>
      <c r="U36" s="455"/>
      <c r="V36" s="455"/>
      <c r="W36" s="455"/>
      <c r="X36" s="456"/>
    </row>
    <row r="37" spans="2:27" ht="12" customHeight="1" x14ac:dyDescent="0.25">
      <c r="B37" s="453" t="s">
        <v>260</v>
      </c>
      <c r="C37" s="454"/>
      <c r="D37" s="455">
        <f t="shared" ref="D37:W37" si="6">+D35-D33</f>
        <v>-4081308667.0154672</v>
      </c>
      <c r="E37" s="455">
        <f t="shared" si="6"/>
        <v>4334844864.4721375</v>
      </c>
      <c r="F37" s="455">
        <f t="shared" si="6"/>
        <v>2598841275.6801848</v>
      </c>
      <c r="G37" s="455">
        <f t="shared" si="6"/>
        <v>1169175593.0913811</v>
      </c>
      <c r="H37" s="455">
        <f t="shared" si="6"/>
        <v>2968174788.1129489</v>
      </c>
      <c r="I37" s="455">
        <f t="shared" si="6"/>
        <v>2397032388.7372274</v>
      </c>
      <c r="J37" s="455">
        <f t="shared" si="6"/>
        <v>1575013568.6199074</v>
      </c>
      <c r="K37" s="455">
        <f t="shared" si="6"/>
        <v>1786595340.9238596</v>
      </c>
      <c r="L37" s="455">
        <f t="shared" si="6"/>
        <v>3031962582.9258556</v>
      </c>
      <c r="M37" s="455">
        <f t="shared" si="6"/>
        <v>5311305718.2209692</v>
      </c>
      <c r="N37" s="455">
        <f t="shared" si="6"/>
        <v>5542506833.5253487</v>
      </c>
      <c r="O37" s="455">
        <f t="shared" si="6"/>
        <v>5780643982.2888603</v>
      </c>
      <c r="P37" s="455">
        <f t="shared" si="6"/>
        <v>6025925245.515276</v>
      </c>
      <c r="Q37" s="455">
        <f t="shared" si="6"/>
        <v>6278564946.6384878</v>
      </c>
      <c r="R37" s="455">
        <f t="shared" si="6"/>
        <v>6538783838.7953939</v>
      </c>
      <c r="S37" s="455">
        <f t="shared" si="6"/>
        <v>6806809297.7170057</v>
      </c>
      <c r="T37" s="455">
        <f t="shared" si="6"/>
        <v>7082875520.4062681</v>
      </c>
      <c r="U37" s="455">
        <f t="shared" si="6"/>
        <v>7367223729.7762079</v>
      </c>
      <c r="V37" s="455">
        <f t="shared" si="6"/>
        <v>7660102385.427247</v>
      </c>
      <c r="W37" s="455">
        <f t="shared" si="6"/>
        <v>7961767400.7478151</v>
      </c>
      <c r="X37" s="456">
        <f>SUM(D37:W37)</f>
        <v>88136840634.606918</v>
      </c>
    </row>
    <row r="38" spans="2:27" ht="12" customHeight="1" x14ac:dyDescent="0.25">
      <c r="B38" s="453"/>
      <c r="C38" s="454"/>
      <c r="D38" s="455"/>
      <c r="E38" s="455"/>
      <c r="F38" s="455"/>
      <c r="G38" s="455"/>
      <c r="H38" s="455"/>
      <c r="I38" s="455"/>
      <c r="J38" s="455"/>
      <c r="K38" s="455"/>
      <c r="L38" s="455"/>
      <c r="M38" s="455"/>
      <c r="N38" s="455"/>
      <c r="O38" s="455"/>
      <c r="P38" s="455"/>
      <c r="Q38" s="455"/>
      <c r="R38" s="455"/>
      <c r="S38" s="455"/>
      <c r="T38" s="455"/>
      <c r="U38" s="455"/>
      <c r="V38" s="455"/>
      <c r="W38" s="455"/>
      <c r="X38" s="456"/>
    </row>
    <row r="39" spans="2:27" ht="12" customHeight="1" x14ac:dyDescent="0.25">
      <c r="B39" s="453" t="s">
        <v>261</v>
      </c>
      <c r="C39" s="454"/>
      <c r="D39" s="455">
        <f t="shared" ref="D39:W39" si="7">IF(((D37+C39)&lt;0),(D37+C39),D37)</f>
        <v>-4081308667.0154672</v>
      </c>
      <c r="E39" s="455">
        <f t="shared" si="7"/>
        <v>4334844864.4721375</v>
      </c>
      <c r="F39" s="455">
        <f t="shared" si="7"/>
        <v>2598841275.6801848</v>
      </c>
      <c r="G39" s="455">
        <f t="shared" si="7"/>
        <v>1169175593.0913811</v>
      </c>
      <c r="H39" s="455">
        <f t="shared" si="7"/>
        <v>2968174788.1129489</v>
      </c>
      <c r="I39" s="455">
        <f t="shared" si="7"/>
        <v>2397032388.7372274</v>
      </c>
      <c r="J39" s="455">
        <f t="shared" si="7"/>
        <v>1575013568.6199074</v>
      </c>
      <c r="K39" s="455">
        <f t="shared" si="7"/>
        <v>1786595340.9238596</v>
      </c>
      <c r="L39" s="455">
        <f t="shared" si="7"/>
        <v>3031962582.9258556</v>
      </c>
      <c r="M39" s="455">
        <f t="shared" si="7"/>
        <v>5311305718.2209692</v>
      </c>
      <c r="N39" s="455">
        <f t="shared" si="7"/>
        <v>5542506833.5253487</v>
      </c>
      <c r="O39" s="455">
        <f t="shared" si="7"/>
        <v>5780643982.2888603</v>
      </c>
      <c r="P39" s="455">
        <f t="shared" si="7"/>
        <v>6025925245.515276</v>
      </c>
      <c r="Q39" s="455">
        <f t="shared" si="7"/>
        <v>6278564946.6384878</v>
      </c>
      <c r="R39" s="455">
        <f t="shared" si="7"/>
        <v>6538783838.7953939</v>
      </c>
      <c r="S39" s="455">
        <f t="shared" si="7"/>
        <v>6806809297.7170057</v>
      </c>
      <c r="T39" s="455">
        <f t="shared" si="7"/>
        <v>7082875520.4062681</v>
      </c>
      <c r="U39" s="455">
        <f t="shared" si="7"/>
        <v>7367223729.7762079</v>
      </c>
      <c r="V39" s="455">
        <f t="shared" si="7"/>
        <v>7660102385.427247</v>
      </c>
      <c r="W39" s="455">
        <f t="shared" si="7"/>
        <v>7961767400.7478151</v>
      </c>
      <c r="X39" s="456">
        <f>SUM(D39:W39)</f>
        <v>88136840634.606918</v>
      </c>
    </row>
    <row r="40" spans="2:27" ht="12.75" customHeight="1" x14ac:dyDescent="0.25">
      <c r="B40" s="453"/>
      <c r="C40" s="454"/>
      <c r="D40" s="455"/>
      <c r="E40" s="455"/>
      <c r="F40" s="455"/>
      <c r="G40" s="455"/>
      <c r="H40" s="455"/>
      <c r="I40" s="455"/>
      <c r="J40" s="455"/>
      <c r="K40" s="455"/>
      <c r="L40" s="455"/>
      <c r="M40" s="455"/>
      <c r="N40" s="455"/>
      <c r="O40" s="455"/>
      <c r="P40" s="455"/>
      <c r="Q40" s="455"/>
      <c r="R40" s="455"/>
      <c r="S40" s="455"/>
      <c r="T40" s="455"/>
      <c r="U40" s="455"/>
      <c r="V40" s="455"/>
      <c r="W40" s="455"/>
      <c r="X40" s="456"/>
    </row>
    <row r="41" spans="2:27" s="472" customFormat="1" ht="13.5" customHeight="1" x14ac:dyDescent="0.25">
      <c r="B41" s="459" t="s">
        <v>262</v>
      </c>
      <c r="C41" s="460"/>
      <c r="D41" s="461">
        <f t="shared" ref="D41:W41" si="8">IF(D39&lt;0,0,IF((AND((C39&lt;=0),(D39&lt;0))),0,(IF(C39&lt;0,D39+C39,D39))))</f>
        <v>0</v>
      </c>
      <c r="E41" s="461">
        <f t="shared" si="8"/>
        <v>253536197.45667028</v>
      </c>
      <c r="F41" s="461">
        <f t="shared" si="8"/>
        <v>2598841275.6801848</v>
      </c>
      <c r="G41" s="461">
        <f t="shared" si="8"/>
        <v>1169175593.0913811</v>
      </c>
      <c r="H41" s="461">
        <f t="shared" si="8"/>
        <v>2968174788.1129489</v>
      </c>
      <c r="I41" s="461">
        <f t="shared" si="8"/>
        <v>2397032388.7372274</v>
      </c>
      <c r="J41" s="461">
        <f t="shared" si="8"/>
        <v>1575013568.6199074</v>
      </c>
      <c r="K41" s="461">
        <f t="shared" si="8"/>
        <v>1786595340.9238596</v>
      </c>
      <c r="L41" s="461">
        <f t="shared" si="8"/>
        <v>3031962582.9258556</v>
      </c>
      <c r="M41" s="461">
        <f t="shared" si="8"/>
        <v>5311305718.2209692</v>
      </c>
      <c r="N41" s="461">
        <f t="shared" si="8"/>
        <v>5542506833.5253487</v>
      </c>
      <c r="O41" s="461">
        <f t="shared" si="8"/>
        <v>5780643982.2888603</v>
      </c>
      <c r="P41" s="461">
        <f t="shared" si="8"/>
        <v>6025925245.515276</v>
      </c>
      <c r="Q41" s="461">
        <f t="shared" si="8"/>
        <v>6278564946.6384878</v>
      </c>
      <c r="R41" s="461">
        <f t="shared" si="8"/>
        <v>6538783838.7953939</v>
      </c>
      <c r="S41" s="461">
        <f t="shared" si="8"/>
        <v>6806809297.7170057</v>
      </c>
      <c r="T41" s="461">
        <f t="shared" si="8"/>
        <v>7082875520.4062681</v>
      </c>
      <c r="U41" s="461">
        <f t="shared" si="8"/>
        <v>7367223729.7762079</v>
      </c>
      <c r="V41" s="461">
        <f t="shared" si="8"/>
        <v>7660102385.427247</v>
      </c>
      <c r="W41" s="461">
        <f t="shared" si="8"/>
        <v>7961767400.7478151</v>
      </c>
      <c r="X41" s="461">
        <f>SUM(D41:W41)</f>
        <v>88136840634.606918</v>
      </c>
    </row>
    <row r="42" spans="2:27" ht="12.75" customHeight="1" x14ac:dyDescent="0.2">
      <c r="B42" s="446"/>
      <c r="C42" s="446"/>
      <c r="D42" s="463"/>
      <c r="E42" s="463"/>
      <c r="F42" s="463"/>
      <c r="G42" s="463"/>
      <c r="H42" s="463"/>
      <c r="I42" s="463"/>
      <c r="J42" s="463"/>
      <c r="K42" s="463"/>
      <c r="L42" s="463"/>
      <c r="M42" s="463"/>
      <c r="N42" s="463"/>
      <c r="O42" s="463"/>
      <c r="P42" s="463"/>
      <c r="Q42" s="463"/>
      <c r="R42" s="463"/>
      <c r="S42" s="463"/>
      <c r="T42" s="463"/>
      <c r="U42" s="463"/>
      <c r="V42" s="463"/>
      <c r="W42" s="463"/>
      <c r="X42" s="463"/>
    </row>
    <row r="43" spans="2:27" ht="12" customHeight="1" x14ac:dyDescent="0.25">
      <c r="B43" s="465" t="s">
        <v>263</v>
      </c>
      <c r="C43" s="446"/>
      <c r="D43" s="463"/>
      <c r="E43" s="463"/>
      <c r="F43" s="463"/>
      <c r="G43" s="463"/>
      <c r="H43" s="463"/>
      <c r="I43" s="463"/>
      <c r="J43" s="463"/>
      <c r="K43" s="463"/>
      <c r="L43" s="463"/>
      <c r="M43" s="463"/>
      <c r="N43" s="463"/>
      <c r="O43" s="463"/>
      <c r="P43" s="463"/>
      <c r="Q43" s="463"/>
      <c r="R43" s="463"/>
      <c r="S43" s="463"/>
      <c r="T43" s="463"/>
      <c r="U43" s="463"/>
      <c r="V43" s="463"/>
      <c r="W43" s="463"/>
      <c r="X43" s="463"/>
    </row>
    <row r="44" spans="2:27" ht="12.75" customHeight="1" x14ac:dyDescent="0.2">
      <c r="B44" s="446"/>
      <c r="C44" s="446"/>
      <c r="D44" s="463"/>
      <c r="E44" s="463"/>
      <c r="F44" s="463"/>
      <c r="G44" s="463"/>
      <c r="H44" s="463"/>
      <c r="I44" s="463"/>
      <c r="J44" s="463"/>
      <c r="K44" s="463"/>
      <c r="L44" s="463"/>
      <c r="M44" s="463"/>
      <c r="N44" s="463"/>
      <c r="O44" s="463"/>
      <c r="P44" s="463"/>
      <c r="Q44" s="463"/>
      <c r="R44" s="463"/>
      <c r="S44" s="463"/>
      <c r="T44" s="463"/>
      <c r="U44" s="463"/>
      <c r="V44" s="463"/>
      <c r="W44" s="463"/>
      <c r="X44" s="463"/>
    </row>
    <row r="45" spans="2:27" ht="12.75" customHeight="1" x14ac:dyDescent="0.25">
      <c r="B45" s="473"/>
      <c r="C45" s="448"/>
      <c r="D45" s="467"/>
      <c r="E45" s="467"/>
      <c r="F45" s="467"/>
      <c r="G45" s="467"/>
      <c r="H45" s="467"/>
      <c r="I45" s="467"/>
      <c r="J45" s="467"/>
      <c r="K45" s="467"/>
      <c r="L45" s="467"/>
      <c r="M45" s="467"/>
      <c r="N45" s="467"/>
      <c r="O45" s="467"/>
      <c r="P45" s="467"/>
      <c r="Q45" s="467"/>
      <c r="R45" s="467"/>
      <c r="S45" s="467"/>
      <c r="T45" s="467"/>
      <c r="U45" s="467"/>
      <c r="V45" s="467"/>
      <c r="W45" s="467"/>
      <c r="X45" s="467"/>
    </row>
    <row r="46" spans="2:27" ht="12" customHeight="1" x14ac:dyDescent="0.25">
      <c r="B46" s="453" t="s">
        <v>264</v>
      </c>
      <c r="C46" s="454"/>
      <c r="D46" s="455">
        <f>+FLUJO!C72/(1+IMPUESTOS!$AA$19)</f>
        <v>0</v>
      </c>
      <c r="E46" s="455">
        <f>+FLUJO!D77/(1+IMPUESTOS!$AA$19)</f>
        <v>28970205619.834713</v>
      </c>
      <c r="F46" s="455">
        <f>+FLUJO!E77/(1+IMPUESTOS!$AA$19)</f>
        <v>29839311788.429752</v>
      </c>
      <c r="G46" s="455">
        <f>+FLUJO!F77/(1+IMPUESTOS!$AA$19)</f>
        <v>30734491142.082645</v>
      </c>
      <c r="H46" s="455">
        <f>+FLUJO!G77/(1+IMPUESTOS!$AA$19)</f>
        <v>31656525876.345127</v>
      </c>
      <c r="I46" s="455">
        <f>+FLUJO!H77/(1+IMPUESTOS!$AA$19)</f>
        <v>32606221652.635479</v>
      </c>
      <c r="J46" s="455">
        <f>+FLUJO!I77/(1+IMPUESTOS!$AA$19)</f>
        <v>33584408302.214542</v>
      </c>
      <c r="K46" s="455">
        <f>+FLUJO!J77/(1+IMPUESTOS!$AA$19)</f>
        <v>34591940551.280983</v>
      </c>
      <c r="L46" s="455">
        <f>+FLUJO!K77/(1+IMPUESTOS!$AA$19)</f>
        <v>35629698767.81942</v>
      </c>
      <c r="M46" s="455">
        <f>+FLUJO!L77/(1+IMPUESTOS!$AA$19)</f>
        <v>36698589730.853996</v>
      </c>
      <c r="N46" s="455">
        <f>+FLUJO!M77/(1+IMPUESTOS!$AA$19)</f>
        <v>37799547422.779617</v>
      </c>
      <c r="O46" s="455">
        <f>+FLUJO!N77/(1+IMPUESTOS!$AA$19)</f>
        <v>38933533845.463005</v>
      </c>
      <c r="P46" s="455">
        <f>+FLUJO!O77/(1+IMPUESTOS!$AA$19)</f>
        <v>40101539860.826897</v>
      </c>
      <c r="Q46" s="455">
        <f>+FLUJO!P77/(1+IMPUESTOS!$AA$19)</f>
        <v>41304586056.651703</v>
      </c>
      <c r="R46" s="455">
        <f>+FLUJO!Q77/(1+IMPUESTOS!$AA$19)</f>
        <v>42543723638.351257</v>
      </c>
      <c r="S46" s="455">
        <f>+FLUJO!R77/(1+IMPUESTOS!$AA$19)</f>
        <v>43820035347.501801</v>
      </c>
      <c r="T46" s="455">
        <f>+FLUJO!S77/(1+IMPUESTOS!$AA$19)</f>
        <v>45134636407.926857</v>
      </c>
      <c r="U46" s="455">
        <f>+FLUJO!T77/(1+IMPUESTOS!$AA$19)</f>
        <v>46488675500.164658</v>
      </c>
      <c r="V46" s="455">
        <f>+FLUJO!U77/(1+IMPUESTOS!$AA$19)</f>
        <v>47883335765.169601</v>
      </c>
      <c r="W46" s="455">
        <f>+FLUJO!V77/(1+IMPUESTOS!$AA$19)</f>
        <v>49319835838.124695</v>
      </c>
      <c r="X46" s="456">
        <f>SUM(D46:W46)</f>
        <v>727640843114.45679</v>
      </c>
    </row>
    <row r="47" spans="2:27" ht="12" customHeight="1" x14ac:dyDescent="0.25">
      <c r="B47" s="453"/>
      <c r="C47" s="454"/>
      <c r="D47" s="455"/>
      <c r="E47" s="455"/>
      <c r="F47" s="455"/>
      <c r="G47" s="455"/>
      <c r="H47" s="455"/>
      <c r="I47" s="455"/>
      <c r="J47" s="455"/>
      <c r="K47" s="455"/>
      <c r="L47" s="455"/>
      <c r="M47" s="455"/>
      <c r="N47" s="455"/>
      <c r="O47" s="455"/>
      <c r="P47" s="455"/>
      <c r="Q47" s="455"/>
      <c r="R47" s="455"/>
      <c r="S47" s="455"/>
      <c r="T47" s="455"/>
      <c r="U47" s="455"/>
      <c r="V47" s="455"/>
      <c r="W47" s="455"/>
      <c r="X47" s="456"/>
    </row>
    <row r="48" spans="2:27" ht="12" customHeight="1" x14ac:dyDescent="0.25">
      <c r="B48" s="453" t="s">
        <v>265</v>
      </c>
      <c r="C48" s="454"/>
      <c r="D48" s="455">
        <f>IF(CONTROL!$L$16=2,AMORTIZACIONES!D48,IF(CONTROL!$L$16=1,AMORTIZACIONES!D98,AMORTIZACIONES!D148))</f>
        <v>817042561.98347116</v>
      </c>
      <c r="E48" s="455">
        <f>IF(CONTROL!$L$16=2,AMORTIZACIONES!E48,IF(CONTROL!$L$16=1,AMORTIZACIONES!E98,AMORTIZACIONES!E148))</f>
        <v>1863869618.1818185</v>
      </c>
      <c r="F48" s="455">
        <f>IF(CONTROL!$L$16=2,AMORTIZACIONES!F48,IF(CONTROL!$L$16=1,AMORTIZACIONES!F98,AMORTIZACIONES!F148))</f>
        <v>3369374360.3305788</v>
      </c>
      <c r="G48" s="455">
        <f>IF(CONTROL!$L$16=2,AMORTIZACIONES!G48,IF(CONTROL!$L$16=1,AMORTIZACIONES!G98,AMORTIZACIONES!G148))</f>
        <v>5225632627.0296555</v>
      </c>
      <c r="H48" s="455">
        <f>IF(CONTROL!$L$16=2,AMORTIZACIONES!H48,IF(CONTROL!$L$16=1,AMORTIZACIONES!H98,AMORTIZACIONES!H148))</f>
        <v>6654691088.1866808</v>
      </c>
      <c r="I48" s="455">
        <f>IF(CONTROL!$L$16=2,AMORTIZACIONES!I48,IF(CONTROL!$L$16=1,AMORTIZACIONES!I98,AMORTIZACIONES!I148))</f>
        <v>8353859742.1811714</v>
      </c>
      <c r="J48" s="455">
        <f>IF(CONTROL!$L$16=2,AMORTIZACIONES!J48,IF(CONTROL!$L$16=1,AMORTIZACIONES!J98,AMORTIZACIONES!J148))</f>
        <v>9402265881.4964008</v>
      </c>
      <c r="K48" s="455">
        <f>IF(CONTROL!$L$16=2,AMORTIZACIONES!K48,IF(CONTROL!$L$16=1,AMORTIZACIONES!K98,AMORTIZACIONES!K148))</f>
        <v>10531318646.912804</v>
      </c>
      <c r="L48" s="455">
        <f>IF(CONTROL!$L$16=2,AMORTIZACIONES!L48,IF(CONTROL!$L$16=1,AMORTIZACIONES!L98,AMORTIZACIONES!L148))</f>
        <v>11346745644.157982</v>
      </c>
      <c r="M48" s="455">
        <f>IF(CONTROL!$L$16=2,AMORTIZACIONES!M48,IF(CONTROL!$L$16=1,AMORTIZACIONES!M98,AMORTIZACIONES!M148))</f>
        <v>11346745644.157982</v>
      </c>
      <c r="N48" s="455">
        <f>IF(CONTROL!$L$16=2,AMORTIZACIONES!N48,IF(CONTROL!$L$16=1,AMORTIZACIONES!N98,AMORTIZACIONES!N148))</f>
        <v>11346745644.157982</v>
      </c>
      <c r="O48" s="455">
        <f>IF(CONTROL!$L$16=2,AMORTIZACIONES!O48,IF(CONTROL!$L$16=1,AMORTIZACIONES!O98,AMORTIZACIONES!O148))</f>
        <v>11346745644.157982</v>
      </c>
      <c r="P48" s="455">
        <f>IF(CONTROL!$L$16=2,AMORTIZACIONES!P48,IF(CONTROL!$L$16=1,AMORTIZACIONES!P98,AMORTIZACIONES!P148))</f>
        <v>11346745644.157982</v>
      </c>
      <c r="Q48" s="455">
        <f>IF(CONTROL!$L$16=2,AMORTIZACIONES!Q48,IF(CONTROL!$L$16=1,AMORTIZACIONES!Q98,AMORTIZACIONES!Q148))</f>
        <v>11346745644.157982</v>
      </c>
      <c r="R48" s="455">
        <f>IF(CONTROL!$L$16=2,AMORTIZACIONES!R48,IF(CONTROL!$L$16=1,AMORTIZACIONES!R98,AMORTIZACIONES!R148))</f>
        <v>11346745644.157982</v>
      </c>
      <c r="S48" s="455">
        <f>IF(CONTROL!$L$16=2,AMORTIZACIONES!S48,IF(CONTROL!$L$16=1,AMORTIZACIONES!S98,AMORTIZACIONES!S148))</f>
        <v>11346745644.157982</v>
      </c>
      <c r="T48" s="455">
        <f>IF(CONTROL!$L$16=2,AMORTIZACIONES!T48,IF(CONTROL!$L$16=1,AMORTIZACIONES!T98,AMORTIZACIONES!T148))</f>
        <v>11608452408.207569</v>
      </c>
      <c r="U48" s="455">
        <f>IF(CONTROL!$L$16=2,AMORTIZACIONES!U48,IF(CONTROL!$L$16=1,AMORTIZACIONES!U98,AMORTIZACIONES!U148))</f>
        <v>12306337112.339802</v>
      </c>
      <c r="V48" s="455">
        <f>IF(CONTROL!$L$16=2,AMORTIZACIONES!V48,IF(CONTROL!$L$16=1,AMORTIZACIONES!V98,AMORTIZACIONES!V148))</f>
        <v>13876577696.637321</v>
      </c>
      <c r="W48" s="455">
        <f>IF(CONTROL!$L$16=2,AMORTIZACIONES!W48,IF(CONTROL!$L$16=1,AMORTIZACIONES!W98,AMORTIZACIONES!W148))</f>
        <v>18063885921.43071</v>
      </c>
      <c r="X48" s="456">
        <f>SUM(D48:W48)</f>
        <v>192847272818.18188</v>
      </c>
      <c r="Y48" s="474"/>
    </row>
    <row r="49" spans="2:24" ht="12" customHeight="1" x14ac:dyDescent="0.25">
      <c r="B49" s="453"/>
      <c r="C49" s="454"/>
      <c r="D49" s="455"/>
      <c r="E49" s="455"/>
      <c r="F49" s="455"/>
      <c r="G49" s="455"/>
      <c r="H49" s="455"/>
      <c r="I49" s="455"/>
      <c r="J49" s="455"/>
      <c r="K49" s="455"/>
      <c r="L49" s="455"/>
      <c r="M49" s="455"/>
      <c r="N49" s="455"/>
      <c r="O49" s="455"/>
      <c r="P49" s="455"/>
      <c r="Q49" s="455"/>
      <c r="R49" s="455"/>
      <c r="S49" s="455"/>
      <c r="T49" s="455"/>
      <c r="U49" s="455"/>
      <c r="V49" s="455"/>
      <c r="W49" s="455"/>
      <c r="X49" s="456"/>
    </row>
    <row r="50" spans="2:24" ht="12" customHeight="1" x14ac:dyDescent="0.25">
      <c r="B50" s="453" t="s">
        <v>266</v>
      </c>
      <c r="C50" s="454"/>
      <c r="D50" s="470">
        <f>SUM(FLUJO!C80:C83)-((FLUJO!C80*$AA$22)/(1+$AA$22)+(FLUJO!C81*$AA$23)/(1+$AA$23)+(FLUJO!C82*$AA$24)/(1+$AA$24)+(FLUJO!C83*$AA$25)/(1+$AA$25))+FLUJO!C41/(1+$AA$19)</f>
        <v>5044180953.3151121</v>
      </c>
      <c r="E50" s="470">
        <f>SUM(FLUJO!D80:D83)-((FLUJO!D80*$AA$22)/(1+$AA$22)+(FLUJO!D81*$AA$23)/(1+$AA$23)+(FLUJO!D82*$AA$24)/(1+$AA$24)+(FLUJO!D83*$AA$25)/(1+$AA$25))+FLUJO!D41/(1+$AA$19)</f>
        <v>5044180953.3151121</v>
      </c>
      <c r="F50" s="470">
        <f>SUM(FLUJO!E80:E83)-((FLUJO!E80*$AA$22)/(1+$AA$22)+(FLUJO!E81*$AA$23)/(1+$AA$23)+(FLUJO!E82*$AA$24)/(1+$AA$24)+(FLUJO!E83*$AA$25)/(1+$AA$25))+FLUJO!E41/(1+$AA$19)</f>
        <v>6275609162.0107641</v>
      </c>
      <c r="G50" s="470">
        <f>SUM(FLUJO!F80:F83)-((FLUJO!F80*$AA$22)/(1+$AA$22)+(FLUJO!F81*$AA$23)/(1+$AA$23)+(FLUJO!F82*$AA$24)/(1+$AA$24)+(FLUJO!F83*$AA$25)/(1+$AA$25))+FLUJO!F41/(1+$AA$19)</f>
        <v>9354179683.7498951</v>
      </c>
      <c r="H50" s="470">
        <f>SUM(FLUJO!G80:G83)-((FLUJO!G80*$AA$22)/(1+$AA$22)+(FLUJO!G81*$AA$23)/(1+$AA$23)+(FLUJO!G82*$AA$24)/(1+$AA$24)+(FLUJO!G83*$AA$25)/(1+$AA$25))+FLUJO!G41/(1+$AA$19)</f>
        <v>9354179683.7498951</v>
      </c>
      <c r="I50" s="470">
        <f>SUM(FLUJO!H80:H83)-((FLUJO!H80*$AA$22)/(1+$AA$22)+(FLUJO!H81*$AA$23)/(1+$AA$23)+(FLUJO!H82*$AA$24)/(1+$AA$24)+(FLUJO!H83*$AA$25)/(1+$AA$25))+FLUJO!H41/(1+$AA$19)</f>
        <v>9354179683.7498951</v>
      </c>
      <c r="J50" s="470">
        <f>SUM(FLUJO!I80:I83)-((FLUJO!I80*$AA$22)/(1+$AA$22)+(FLUJO!I81*$AA$23)/(1+$AA$23)+(FLUJO!I82*$AA$24)/(1+$AA$24)+(FLUJO!I83*$AA$25)/(1+$AA$25))+FLUJO!I41/(1+$AA$19)</f>
        <v>9354179683.7498951</v>
      </c>
      <c r="K50" s="470">
        <f>SUM(FLUJO!J80:J83)-((FLUJO!J80*$AA$22)/(1+$AA$22)+(FLUJO!J81*$AA$23)/(1+$AA$23)+(FLUJO!J82*$AA$24)/(1+$AA$24)+(FLUJO!J83*$AA$25)/(1+$AA$25))+FLUJO!J41/(1+$AA$19)</f>
        <v>9354179683.7498951</v>
      </c>
      <c r="L50" s="470">
        <f>SUM(FLUJO!K80:K83)-((FLUJO!K80*$AA$22)/(1+$AA$22)+(FLUJO!K81*$AA$23)/(1+$AA$23)+(FLUJO!K82*$AA$24)/(1+$AA$24)+(FLUJO!K83*$AA$25)/(1+$AA$25))+FLUJO!K41/(1+$AA$19)</f>
        <v>9354179683.7498951</v>
      </c>
      <c r="M50" s="470">
        <f>SUM(FLUJO!L80:L83)-((FLUJO!L80*$AA$22)/(1+$AA$22)+(FLUJO!L81*$AA$23)/(1+$AA$23)+(FLUJO!L82*$AA$24)/(1+$AA$24)+(FLUJO!L83*$AA$25)/(1+$AA$25))+FLUJO!L41/(1+$AA$19)</f>
        <v>9354179683.7498951</v>
      </c>
      <c r="N50" s="470">
        <f>SUM(FLUJO!M80:M83)-((FLUJO!M80*$AA$22)/(1+$AA$22)+(FLUJO!M81*$AA$23)/(1+$AA$23)+(FLUJO!M82*$AA$24)/(1+$AA$24)+(FLUJO!M83*$AA$25)/(1+$AA$25))+FLUJO!M41/(1+$AA$19)</f>
        <v>9354179683.7498951</v>
      </c>
      <c r="O50" s="470">
        <f>SUM(FLUJO!N80:N83)-((FLUJO!N80*$AA$22)/(1+$AA$22)+(FLUJO!N81*$AA$23)/(1+$AA$23)+(FLUJO!N82*$AA$24)/(1+$AA$24)+(FLUJO!N83*$AA$25)/(1+$AA$25))+FLUJO!N41/(1+$AA$19)</f>
        <v>9354179683.7498951</v>
      </c>
      <c r="P50" s="470">
        <f>SUM(FLUJO!O80:O83)-((FLUJO!O80*$AA$22)/(1+$AA$22)+(FLUJO!O81*$AA$23)/(1+$AA$23)+(FLUJO!O82*$AA$24)/(1+$AA$24)+(FLUJO!O83*$AA$25)/(1+$AA$25))+FLUJO!O41/(1+$AA$19)</f>
        <v>9354179683.7498951</v>
      </c>
      <c r="Q50" s="470">
        <f>SUM(FLUJO!P80:P83)-((FLUJO!P80*$AA$22)/(1+$AA$22)+(FLUJO!P81*$AA$23)/(1+$AA$23)+(FLUJO!P82*$AA$24)/(1+$AA$24)+(FLUJO!P83*$AA$25)/(1+$AA$25))+FLUJO!P41/(1+$AA$19)</f>
        <v>9354179683.7498951</v>
      </c>
      <c r="R50" s="470">
        <f>SUM(FLUJO!Q80:Q83)-((FLUJO!Q80*$AA$22)/(1+$AA$22)+(FLUJO!Q81*$AA$23)/(1+$AA$23)+(FLUJO!Q82*$AA$24)/(1+$AA$24)+(FLUJO!Q83*$AA$25)/(1+$AA$25))+FLUJO!Q41/(1+$AA$19)</f>
        <v>9354179683.7498951</v>
      </c>
      <c r="S50" s="470">
        <f>SUM(FLUJO!R80:R83)-((FLUJO!R80*$AA$22)/(1+$AA$22)+(FLUJO!R81*$AA$23)/(1+$AA$23)+(FLUJO!R82*$AA$24)/(1+$AA$24)+(FLUJO!R83*$AA$25)/(1+$AA$25))+FLUJO!R41/(1+$AA$19)</f>
        <v>9354179683.7498951</v>
      </c>
      <c r="T50" s="470">
        <f>SUM(FLUJO!S80:S83)-((FLUJO!S80*$AA$22)/(1+$AA$22)+(FLUJO!S81*$AA$23)/(1+$AA$23)+(FLUJO!S82*$AA$24)/(1+$AA$24)+(FLUJO!S83*$AA$25)/(1+$AA$25))+FLUJO!S41/(1+$AA$19)</f>
        <v>9354179683.7498951</v>
      </c>
      <c r="U50" s="470">
        <f>SUM(FLUJO!T80:T83)-((FLUJO!T80*$AA$22)/(1+$AA$22)+(FLUJO!T81*$AA$23)/(1+$AA$23)+(FLUJO!T82*$AA$24)/(1+$AA$24)+(FLUJO!T83*$AA$25)/(1+$AA$25))+FLUJO!T41/(1+$AA$19)</f>
        <v>9354179683.7498951</v>
      </c>
      <c r="V50" s="470">
        <f>SUM(FLUJO!U80:U83)-((FLUJO!U80*$AA$22)/(1+$AA$22)+(FLUJO!U81*$AA$23)/(1+$AA$23)+(FLUJO!U82*$AA$24)/(1+$AA$24)+(FLUJO!U83*$AA$25)/(1+$AA$25))+FLUJO!U41/(1+$AA$19)</f>
        <v>9354179683.7498951</v>
      </c>
      <c r="W50" s="470">
        <f>SUM(FLUJO!V80:V83)-((FLUJO!V80*$AA$22)/(1+$AA$22)+(FLUJO!V81*$AA$23)/(1+$AA$23)+(FLUJO!V82*$AA$24)/(1+$AA$24)+(FLUJO!V83*$AA$25)/(1+$AA$25))+FLUJO!V41/(1+$AA$19)</f>
        <v>9354179683.7498951</v>
      </c>
      <c r="X50" s="456">
        <f>SUM(D50:W50)</f>
        <v>175385025692.38925</v>
      </c>
    </row>
    <row r="51" spans="2:24" ht="12" customHeight="1" x14ac:dyDescent="0.25">
      <c r="B51" s="453"/>
      <c r="C51" s="454"/>
      <c r="D51" s="455"/>
      <c r="E51" s="455"/>
      <c r="F51" s="455"/>
      <c r="G51" s="455"/>
      <c r="H51" s="455"/>
      <c r="I51" s="455"/>
      <c r="J51" s="455"/>
      <c r="K51" s="455"/>
      <c r="L51" s="455"/>
      <c r="M51" s="455"/>
      <c r="N51" s="455"/>
      <c r="O51" s="455"/>
      <c r="P51" s="455"/>
      <c r="Q51" s="455"/>
      <c r="R51" s="455"/>
      <c r="S51" s="455"/>
      <c r="T51" s="455"/>
      <c r="U51" s="455"/>
      <c r="V51" s="455"/>
      <c r="W51" s="455"/>
      <c r="X51" s="456"/>
    </row>
    <row r="52" spans="2:24" ht="12" hidden="1" customHeight="1" x14ac:dyDescent="0.25">
      <c r="B52" s="453"/>
      <c r="C52" s="454"/>
      <c r="D52" s="455"/>
      <c r="E52" s="455"/>
      <c r="F52" s="455"/>
      <c r="G52" s="455"/>
      <c r="H52" s="455"/>
      <c r="I52" s="455"/>
      <c r="J52" s="455"/>
      <c r="K52" s="455"/>
      <c r="L52" s="455"/>
      <c r="M52" s="455"/>
      <c r="N52" s="455"/>
      <c r="O52" s="455"/>
      <c r="P52" s="455"/>
      <c r="Q52" s="455"/>
      <c r="R52" s="455"/>
      <c r="S52" s="455"/>
      <c r="T52" s="455"/>
      <c r="U52" s="455"/>
      <c r="V52" s="455"/>
      <c r="W52" s="455"/>
      <c r="X52" s="456">
        <f>SUM(D52:W52)</f>
        <v>0</v>
      </c>
    </row>
    <row r="53" spans="2:24" ht="12" hidden="1" customHeight="1" x14ac:dyDescent="0.25">
      <c r="B53" s="453"/>
      <c r="C53" s="454"/>
      <c r="D53" s="455"/>
      <c r="E53" s="455"/>
      <c r="F53" s="455"/>
      <c r="G53" s="455"/>
      <c r="H53" s="455"/>
      <c r="I53" s="455"/>
      <c r="J53" s="455"/>
      <c r="K53" s="455"/>
      <c r="L53" s="455"/>
      <c r="M53" s="455"/>
      <c r="N53" s="455"/>
      <c r="O53" s="455"/>
      <c r="P53" s="455"/>
      <c r="Q53" s="455"/>
      <c r="R53" s="455"/>
      <c r="S53" s="455"/>
      <c r="T53" s="455"/>
      <c r="U53" s="455"/>
      <c r="V53" s="455"/>
      <c r="W53" s="455"/>
      <c r="X53" s="456"/>
    </row>
    <row r="54" spans="2:24" ht="12" customHeight="1" x14ac:dyDescent="0.25">
      <c r="B54" s="453" t="s">
        <v>267</v>
      </c>
      <c r="C54" s="454"/>
      <c r="D54" s="455">
        <f t="shared" ref="D54:W54" si="9">+D16+D20+D22+D24</f>
        <v>742847694.89563644</v>
      </c>
      <c r="E54" s="455">
        <f t="shared" si="9"/>
        <v>1752587008.9586778</v>
      </c>
      <c r="F54" s="455">
        <f t="shared" si="9"/>
        <v>1791279615.5845289</v>
      </c>
      <c r="G54" s="455">
        <f t="shared" si="9"/>
        <v>1831133000.4091558</v>
      </c>
      <c r="H54" s="455">
        <f t="shared" si="9"/>
        <v>1872181986.7785213</v>
      </c>
      <c r="I54" s="455">
        <f t="shared" si="9"/>
        <v>1451628987.9753315</v>
      </c>
      <c r="J54" s="455">
        <f t="shared" si="9"/>
        <v>1495177857.6145916</v>
      </c>
      <c r="K54" s="455">
        <f t="shared" si="9"/>
        <v>1540033193.3430295</v>
      </c>
      <c r="L54" s="455">
        <f t="shared" si="9"/>
        <v>1586234189.1433206</v>
      </c>
      <c r="M54" s="455">
        <f t="shared" si="9"/>
        <v>1633821214.8176198</v>
      </c>
      <c r="N54" s="455">
        <f t="shared" si="9"/>
        <v>1682835851.2621484</v>
      </c>
      <c r="O54" s="455">
        <f t="shared" si="9"/>
        <v>1733320926.8000131</v>
      </c>
      <c r="P54" s="455">
        <f t="shared" si="9"/>
        <v>1785320554.6040134</v>
      </c>
      <c r="Q54" s="455">
        <f t="shared" si="9"/>
        <v>1838880171.2421339</v>
      </c>
      <c r="R54" s="455">
        <f t="shared" si="9"/>
        <v>1894046576.3793979</v>
      </c>
      <c r="S54" s="455">
        <f t="shared" si="9"/>
        <v>1950867973.6707802</v>
      </c>
      <c r="T54" s="455">
        <f t="shared" si="9"/>
        <v>2009394012.8809035</v>
      </c>
      <c r="U54" s="455">
        <f t="shared" si="9"/>
        <v>2069675833.2673306</v>
      </c>
      <c r="V54" s="455">
        <f t="shared" si="9"/>
        <v>2131766108.2653508</v>
      </c>
      <c r="W54" s="455">
        <f t="shared" si="9"/>
        <v>2195719091.5133114</v>
      </c>
      <c r="X54" s="456">
        <f>SUM(D54:W54)</f>
        <v>34988751849.4058</v>
      </c>
    </row>
    <row r="55" spans="2:24" ht="12" customHeight="1" x14ac:dyDescent="0.25">
      <c r="B55" s="453"/>
      <c r="C55" s="454"/>
      <c r="D55" s="455"/>
      <c r="E55" s="455"/>
      <c r="F55" s="455"/>
      <c r="G55" s="455"/>
      <c r="H55" s="455"/>
      <c r="I55" s="455"/>
      <c r="J55" s="455"/>
      <c r="K55" s="455"/>
      <c r="L55" s="455"/>
      <c r="M55" s="455"/>
      <c r="N55" s="455"/>
      <c r="O55" s="455"/>
      <c r="P55" s="455"/>
      <c r="Q55" s="455"/>
      <c r="R55" s="455"/>
      <c r="S55" s="455"/>
      <c r="T55" s="455"/>
      <c r="U55" s="455"/>
      <c r="V55" s="455"/>
      <c r="W55" s="455"/>
      <c r="X55" s="456"/>
    </row>
    <row r="56" spans="2:24" ht="12" customHeight="1" x14ac:dyDescent="0.25">
      <c r="B56" s="453" t="s">
        <v>268</v>
      </c>
      <c r="C56" s="454"/>
      <c r="D56" s="455">
        <f t="shared" ref="D56:W56" si="10">+D46-D50-D52-D54</f>
        <v>-5787028648.2107487</v>
      </c>
      <c r="E56" s="455">
        <f t="shared" si="10"/>
        <v>22173437657.560921</v>
      </c>
      <c r="F56" s="455">
        <f t="shared" si="10"/>
        <v>21772423010.834457</v>
      </c>
      <c r="G56" s="455">
        <f t="shared" si="10"/>
        <v>19549178457.923592</v>
      </c>
      <c r="H56" s="455">
        <f t="shared" si="10"/>
        <v>20430164205.816708</v>
      </c>
      <c r="I56" s="455">
        <f t="shared" si="10"/>
        <v>21800412980.910252</v>
      </c>
      <c r="J56" s="455">
        <f t="shared" si="10"/>
        <v>22735050760.850052</v>
      </c>
      <c r="K56" s="455">
        <f t="shared" si="10"/>
        <v>23697727674.188061</v>
      </c>
      <c r="L56" s="455">
        <f t="shared" si="10"/>
        <v>24689284894.926205</v>
      </c>
      <c r="M56" s="455">
        <f t="shared" si="10"/>
        <v>25710588832.286484</v>
      </c>
      <c r="N56" s="455">
        <f t="shared" si="10"/>
        <v>26762531887.767574</v>
      </c>
      <c r="O56" s="455">
        <f t="shared" si="10"/>
        <v>27846033234.913097</v>
      </c>
      <c r="P56" s="455">
        <f t="shared" si="10"/>
        <v>28962039622.472992</v>
      </c>
      <c r="Q56" s="455">
        <f t="shared" si="10"/>
        <v>30111526201.659676</v>
      </c>
      <c r="R56" s="455">
        <f t="shared" si="10"/>
        <v>31295497378.221966</v>
      </c>
      <c r="S56" s="455">
        <f t="shared" si="10"/>
        <v>32514987690.081127</v>
      </c>
      <c r="T56" s="455">
        <f t="shared" si="10"/>
        <v>33771062711.296059</v>
      </c>
      <c r="U56" s="455">
        <f t="shared" si="10"/>
        <v>35064819983.14743</v>
      </c>
      <c r="V56" s="455">
        <f t="shared" si="10"/>
        <v>36397389973.154358</v>
      </c>
      <c r="W56" s="455">
        <f t="shared" si="10"/>
        <v>37769937062.861488</v>
      </c>
      <c r="X56" s="456">
        <f>SUM(D56:W56)</f>
        <v>517267065572.66174</v>
      </c>
    </row>
    <row r="57" spans="2:24" ht="12" customHeight="1" x14ac:dyDescent="0.25">
      <c r="B57" s="453"/>
      <c r="C57" s="454"/>
      <c r="D57" s="455"/>
      <c r="E57" s="455"/>
      <c r="F57" s="455"/>
      <c r="G57" s="455"/>
      <c r="H57" s="455"/>
      <c r="I57" s="455"/>
      <c r="J57" s="455"/>
      <c r="K57" s="455"/>
      <c r="L57" s="455"/>
      <c r="M57" s="455"/>
      <c r="N57" s="455"/>
      <c r="O57" s="455"/>
      <c r="P57" s="455"/>
      <c r="Q57" s="455"/>
      <c r="R57" s="455"/>
      <c r="S57" s="455"/>
      <c r="T57" s="455"/>
      <c r="U57" s="455"/>
      <c r="V57" s="455"/>
      <c r="W57" s="455"/>
      <c r="X57" s="456"/>
    </row>
    <row r="58" spans="2:24" ht="12" customHeight="1" x14ac:dyDescent="0.25">
      <c r="B58" s="453" t="s">
        <v>269</v>
      </c>
      <c r="C58" s="454"/>
      <c r="D58" s="455">
        <f t="shared" ref="D58:W58" si="11">IF(D56&gt;0,D56*$AA$30,0)</f>
        <v>0</v>
      </c>
      <c r="E58" s="455">
        <f t="shared" si="11"/>
        <v>6652031297.2682762</v>
      </c>
      <c r="F58" s="455">
        <f t="shared" si="11"/>
        <v>6531726903.2503366</v>
      </c>
      <c r="G58" s="455">
        <f t="shared" si="11"/>
        <v>5864753537.3770771</v>
      </c>
      <c r="H58" s="455">
        <f t="shared" si="11"/>
        <v>6129049261.7450123</v>
      </c>
      <c r="I58" s="455">
        <f t="shared" si="11"/>
        <v>6540123894.2730751</v>
      </c>
      <c r="J58" s="455">
        <f t="shared" si="11"/>
        <v>6820515228.2550154</v>
      </c>
      <c r="K58" s="455">
        <f t="shared" si="11"/>
        <v>7109318302.2564182</v>
      </c>
      <c r="L58" s="455">
        <f t="shared" si="11"/>
        <v>7406785468.4778614</v>
      </c>
      <c r="M58" s="455">
        <f t="shared" si="11"/>
        <v>7713176649.6859446</v>
      </c>
      <c r="N58" s="455">
        <f t="shared" si="11"/>
        <v>8028759566.3302717</v>
      </c>
      <c r="O58" s="455">
        <f t="shared" si="11"/>
        <v>8353809970.4739285</v>
      </c>
      <c r="P58" s="455">
        <f t="shared" si="11"/>
        <v>8688611886.7418976</v>
      </c>
      <c r="Q58" s="455">
        <f t="shared" si="11"/>
        <v>9033457860.4979019</v>
      </c>
      <c r="R58" s="455">
        <f t="shared" si="11"/>
        <v>9388649213.466589</v>
      </c>
      <c r="S58" s="455">
        <f t="shared" si="11"/>
        <v>9754496307.0243378</v>
      </c>
      <c r="T58" s="455">
        <f t="shared" si="11"/>
        <v>10131318813.388817</v>
      </c>
      <c r="U58" s="455">
        <f t="shared" si="11"/>
        <v>10519445994.944229</v>
      </c>
      <c r="V58" s="455">
        <f t="shared" si="11"/>
        <v>10919216991.946306</v>
      </c>
      <c r="W58" s="455">
        <f t="shared" si="11"/>
        <v>11330981118.858446</v>
      </c>
      <c r="X58" s="456">
        <f>SUM(D58:W58)</f>
        <v>156916228266.26172</v>
      </c>
    </row>
    <row r="59" spans="2:24" ht="12" customHeight="1" x14ac:dyDescent="0.25">
      <c r="B59" s="453"/>
      <c r="C59" s="454"/>
      <c r="D59" s="455"/>
      <c r="E59" s="455"/>
      <c r="F59" s="455"/>
      <c r="G59" s="455"/>
      <c r="H59" s="455"/>
      <c r="I59" s="455"/>
      <c r="J59" s="455"/>
      <c r="K59" s="455"/>
      <c r="L59" s="455"/>
      <c r="M59" s="455"/>
      <c r="N59" s="455"/>
      <c r="O59" s="455"/>
      <c r="P59" s="455"/>
      <c r="Q59" s="455"/>
      <c r="R59" s="455"/>
      <c r="S59" s="455"/>
      <c r="T59" s="455"/>
      <c r="U59" s="455"/>
      <c r="V59" s="455"/>
      <c r="W59" s="455"/>
      <c r="X59" s="456"/>
    </row>
    <row r="60" spans="2:24" ht="12" customHeight="1" x14ac:dyDescent="0.25">
      <c r="B60" s="453" t="s">
        <v>270</v>
      </c>
      <c r="C60" s="454"/>
      <c r="D60" s="470">
        <v>0</v>
      </c>
      <c r="E60" s="455">
        <f>+IF(D6&gt;'PRESTAMO '!$D$8,0,IF(E58&gt;'PRESTAMO '!$E$13,'PRESTAMO '!$E$13,IMPUESTOS!E58))</f>
        <v>2152026108.0144749</v>
      </c>
      <c r="F60" s="455">
        <f>+IF(E6&gt;'PRESTAMO '!D8,0,IF(F58&gt;'PRESTAMO '!$E$14,'PRESTAMO '!$E$14,IMPUESTOS!F58))</f>
        <v>1862348148.9436893</v>
      </c>
      <c r="G60" s="455">
        <f>+IF(F6&gt;'PRESTAMO '!D8,0,IF(G58&gt;'PRESTAMO '!$E$15,'PRESTAMO '!$E$15,IMPUESTOS!G58))</f>
        <v>1548047563.351887</v>
      </c>
      <c r="H60" s="455">
        <f>IF(G6&gt;'PRESTAMO '!D8,0,IF(H58&gt;'PRESTAMO '!$E$16,'PRESTAMO '!$E$16,IMPUESTOS!H58))</f>
        <v>1207031427.9847815</v>
      </c>
      <c r="I60" s="455">
        <f>IF(H6&gt;'PRESTAMO '!D8,0,IF(I58&gt;'PRESTAMO '!$E$17,'PRESTAMO '!$E$17,IMPUESTOS!I58))</f>
        <v>837028921.11147201</v>
      </c>
      <c r="J60" s="455">
        <f>IF(I6&gt;'PRESTAMO '!D8,0,IF(J58&gt;'PRESTAMO '!$E$18,'PRESTAMO '!$E$18,IMPUESTOS!J58))</f>
        <v>435576201.1539312</v>
      </c>
      <c r="K60" s="455">
        <f>IF(J6&gt;'PRESTAMO '!D8,0,IF(K58&gt;'PRESTAMO '!$E$19,'PRESTAMO '!$E$19,IMPUESTOS!K58))</f>
        <v>0</v>
      </c>
      <c r="L60" s="455">
        <f>IF(K6&gt;'PRESTAMO '!D8,0,IF(L58&gt;'PRESTAMO '!$E$20,'PRESTAMO '!$E$20,IMPUESTOS!L58))</f>
        <v>0</v>
      </c>
      <c r="M60" s="455">
        <f>IF(L6&gt;'PRESTAMO '!D8,0,IF(M58&gt;'PRESTAMO '!$E$21,'PRESTAMO '!$E$21,IMPUESTOS!M58))</f>
        <v>0</v>
      </c>
      <c r="N60" s="455">
        <f>IF(M6&gt;'PRESTAMO '!D8,0,IF(N58&gt;'PRESTAMO '!$E$22,'PRESTAMO '!$E$22,IMPUESTOS!N58))</f>
        <v>0</v>
      </c>
      <c r="O60" s="455">
        <f>IF(N6&gt;'PRESTAMO '!D8,0,IF(O58&gt;'PRESTAMO '!$E$23,'PRESTAMO '!$E$23,IMPUESTOS!O58))</f>
        <v>0</v>
      </c>
      <c r="P60" s="455">
        <f>IF(O6&gt;'PRESTAMO '!D8,0,IF(P58&gt;'PRESTAMO '!$E$24,'PRESTAMO '!$E$24,IMPUESTOS!P58))</f>
        <v>0</v>
      </c>
      <c r="Q60" s="455">
        <f>IF(P6&gt;'PRESTAMO '!D8,0,IF(Q58&gt;'PRESTAMO '!$E$25,'PRESTAMO '!$E$25,IMPUESTOS!Q58))</f>
        <v>0</v>
      </c>
      <c r="R60" s="455">
        <f>IF(Q6&gt;'PRESTAMO '!D8,0,IF(R58&gt;'PRESTAMO '!$E$26,'PRESTAMO '!$E$26,IMPUESTOS!R58))</f>
        <v>0</v>
      </c>
      <c r="S60" s="455">
        <f>IF(R6&gt;'PRESTAMO '!D8,0,IF(S58&gt;'PRESTAMO '!$E$27,'PRESTAMO '!$E$27,IMPUESTOS!S58))</f>
        <v>0</v>
      </c>
      <c r="T60" s="455">
        <f>IF(S6&gt;'PRESTAMO '!D8,0,IF(T58&gt;'PRESTAMO '!$E$28,'PRESTAMO '!$E$28,IMPUESTOS!T58))</f>
        <v>0</v>
      </c>
      <c r="U60" s="455">
        <f>IF(T6&gt;'PRESTAMO '!D8,0,IF(U58&gt;'PRESTAMO '!$E$29,'PRESTAMO '!$E$29,IMPUESTOS!U58))</f>
        <v>0</v>
      </c>
      <c r="V60" s="455">
        <f>IF(U6&gt;'PRESTAMO '!D8,0,IF(V58&gt;'PRESTAMO '!$E$30,'PRESTAMO '!$E$30,IMPUESTOS!V58))</f>
        <v>0</v>
      </c>
      <c r="W60" s="455">
        <f>IF(V6&gt;'PRESTAMO '!D8,0,IF(W58&gt;'PRESTAMO '!$E$31,'PRESTAMO '!$E$31,IMPUESTOS!W58))</f>
        <v>0</v>
      </c>
      <c r="X60" s="456">
        <f>SUM(D60:W60)</f>
        <v>8042058370.560236</v>
      </c>
    </row>
    <row r="61" spans="2:24" ht="12" customHeight="1" x14ac:dyDescent="0.25">
      <c r="B61" s="453"/>
      <c r="C61" s="454"/>
      <c r="D61" s="455"/>
      <c r="E61" s="455"/>
      <c r="F61" s="455"/>
      <c r="G61" s="455"/>
      <c r="H61" s="455"/>
      <c r="I61" s="455"/>
      <c r="J61" s="455"/>
      <c r="K61" s="455"/>
      <c r="L61" s="455"/>
      <c r="M61" s="455"/>
      <c r="N61" s="455"/>
      <c r="O61" s="455"/>
      <c r="P61" s="455"/>
      <c r="Q61" s="455"/>
      <c r="R61" s="455"/>
      <c r="S61" s="455"/>
      <c r="T61" s="455"/>
      <c r="U61" s="455"/>
      <c r="V61" s="455"/>
      <c r="W61" s="455"/>
      <c r="X61" s="456"/>
    </row>
    <row r="62" spans="2:24" ht="12" customHeight="1" x14ac:dyDescent="0.25">
      <c r="B62" s="453" t="s">
        <v>271</v>
      </c>
      <c r="C62" s="454"/>
      <c r="D62" s="455">
        <f t="shared" ref="D62:W62" si="12">+D56-D60-D48</f>
        <v>-6604071210.1942196</v>
      </c>
      <c r="E62" s="455">
        <f t="shared" si="12"/>
        <v>18157541931.364628</v>
      </c>
      <c r="F62" s="455">
        <f t="shared" si="12"/>
        <v>16540700501.560192</v>
      </c>
      <c r="G62" s="455">
        <f t="shared" si="12"/>
        <v>12775498267.542049</v>
      </c>
      <c r="H62" s="455">
        <f t="shared" si="12"/>
        <v>12568441689.645245</v>
      </c>
      <c r="I62" s="455">
        <f t="shared" si="12"/>
        <v>12609524317.617607</v>
      </c>
      <c r="J62" s="455">
        <f t="shared" si="12"/>
        <v>12897208678.19972</v>
      </c>
      <c r="K62" s="455">
        <f t="shared" si="12"/>
        <v>13166409027.275257</v>
      </c>
      <c r="L62" s="455">
        <f t="shared" si="12"/>
        <v>13342539250.768223</v>
      </c>
      <c r="M62" s="455">
        <f t="shared" si="12"/>
        <v>14363843188.128502</v>
      </c>
      <c r="N62" s="455">
        <f t="shared" si="12"/>
        <v>15415786243.609592</v>
      </c>
      <c r="O62" s="455">
        <f t="shared" si="12"/>
        <v>16499287590.755116</v>
      </c>
      <c r="P62" s="455">
        <f t="shared" si="12"/>
        <v>17615293978.31501</v>
      </c>
      <c r="Q62" s="455">
        <f t="shared" si="12"/>
        <v>18764780557.501694</v>
      </c>
      <c r="R62" s="455">
        <f t="shared" si="12"/>
        <v>19948751734.063984</v>
      </c>
      <c r="S62" s="455">
        <f t="shared" si="12"/>
        <v>21168242045.923145</v>
      </c>
      <c r="T62" s="455">
        <f t="shared" si="12"/>
        <v>22162610303.08849</v>
      </c>
      <c r="U62" s="455">
        <f t="shared" si="12"/>
        <v>22758482870.807629</v>
      </c>
      <c r="V62" s="455">
        <f t="shared" si="12"/>
        <v>22520812276.517036</v>
      </c>
      <c r="W62" s="455">
        <f t="shared" si="12"/>
        <v>19706051141.430779</v>
      </c>
      <c r="X62" s="456">
        <f>SUM(D62:W62)</f>
        <v>316377734383.91974</v>
      </c>
    </row>
    <row r="63" spans="2:24" ht="12" customHeight="1" x14ac:dyDescent="0.25">
      <c r="B63" s="453"/>
      <c r="C63" s="454"/>
      <c r="D63" s="455"/>
      <c r="E63" s="455"/>
      <c r="F63" s="455"/>
      <c r="G63" s="455"/>
      <c r="H63" s="455"/>
      <c r="I63" s="455"/>
      <c r="J63" s="455"/>
      <c r="K63" s="455"/>
      <c r="L63" s="455"/>
      <c r="M63" s="455"/>
      <c r="N63" s="455"/>
      <c r="O63" s="455"/>
      <c r="P63" s="455"/>
      <c r="Q63" s="455"/>
      <c r="R63" s="455"/>
      <c r="S63" s="455"/>
      <c r="T63" s="455"/>
      <c r="U63" s="455"/>
      <c r="V63" s="455"/>
      <c r="W63" s="455"/>
      <c r="X63" s="456"/>
    </row>
    <row r="64" spans="2:24" ht="12" customHeight="1" x14ac:dyDescent="0.25">
      <c r="B64" s="453" t="s">
        <v>272</v>
      </c>
      <c r="C64" s="454"/>
      <c r="D64" s="455">
        <f t="shared" ref="D64:W64" si="13">IF((D62+C64)&gt;0,0,(D62+C64))</f>
        <v>-6604071210.1942196</v>
      </c>
      <c r="E64" s="455">
        <f t="shared" si="13"/>
        <v>0</v>
      </c>
      <c r="F64" s="455">
        <f t="shared" si="13"/>
        <v>0</v>
      </c>
      <c r="G64" s="455">
        <f t="shared" si="13"/>
        <v>0</v>
      </c>
      <c r="H64" s="455">
        <f t="shared" si="13"/>
        <v>0</v>
      </c>
      <c r="I64" s="455">
        <f t="shared" si="13"/>
        <v>0</v>
      </c>
      <c r="J64" s="455">
        <f t="shared" si="13"/>
        <v>0</v>
      </c>
      <c r="K64" s="455">
        <f t="shared" si="13"/>
        <v>0</v>
      </c>
      <c r="L64" s="455">
        <f t="shared" si="13"/>
        <v>0</v>
      </c>
      <c r="M64" s="455">
        <f t="shared" si="13"/>
        <v>0</v>
      </c>
      <c r="N64" s="455">
        <f t="shared" si="13"/>
        <v>0</v>
      </c>
      <c r="O64" s="455">
        <f t="shared" si="13"/>
        <v>0</v>
      </c>
      <c r="P64" s="455">
        <f t="shared" si="13"/>
        <v>0</v>
      </c>
      <c r="Q64" s="455">
        <f t="shared" si="13"/>
        <v>0</v>
      </c>
      <c r="R64" s="455">
        <f t="shared" si="13"/>
        <v>0</v>
      </c>
      <c r="S64" s="455">
        <f t="shared" si="13"/>
        <v>0</v>
      </c>
      <c r="T64" s="455">
        <f t="shared" si="13"/>
        <v>0</v>
      </c>
      <c r="U64" s="455">
        <f t="shared" si="13"/>
        <v>0</v>
      </c>
      <c r="V64" s="455">
        <f t="shared" si="13"/>
        <v>0</v>
      </c>
      <c r="W64" s="455">
        <f t="shared" si="13"/>
        <v>0</v>
      </c>
      <c r="X64" s="456">
        <f>SUM(D64:W64)</f>
        <v>-6604071210.1942196</v>
      </c>
    </row>
    <row r="65" spans="2:24" ht="12.75" customHeight="1" x14ac:dyDescent="0.25">
      <c r="B65" s="453"/>
      <c r="C65" s="454"/>
      <c r="D65" s="455"/>
      <c r="E65" s="455"/>
      <c r="F65" s="455"/>
      <c r="G65" s="455"/>
      <c r="H65" s="455"/>
      <c r="I65" s="455"/>
      <c r="J65" s="455"/>
      <c r="K65" s="455"/>
      <c r="L65" s="455"/>
      <c r="M65" s="455"/>
      <c r="N65" s="455"/>
      <c r="O65" s="455"/>
      <c r="P65" s="455"/>
      <c r="Q65" s="455"/>
      <c r="R65" s="455"/>
      <c r="S65" s="455"/>
      <c r="T65" s="455"/>
      <c r="U65" s="455"/>
      <c r="V65" s="455"/>
      <c r="W65" s="455"/>
      <c r="X65" s="456"/>
    </row>
    <row r="66" spans="2:24" s="472" customFormat="1" ht="13.5" customHeight="1" x14ac:dyDescent="0.25">
      <c r="B66" s="459" t="s">
        <v>273</v>
      </c>
      <c r="C66" s="460"/>
      <c r="D66" s="461">
        <f t="shared" ref="D66:W66" si="14">IF(D62&lt;0,0,IF((D62+C64)&lt;0,0,(D62+C64)*$AA$16))</f>
        <v>0</v>
      </c>
      <c r="E66" s="461">
        <f t="shared" si="14"/>
        <v>4043714752.4096427</v>
      </c>
      <c r="F66" s="461">
        <f t="shared" si="14"/>
        <v>5789245175.5460672</v>
      </c>
      <c r="G66" s="461">
        <f t="shared" si="14"/>
        <v>4471424393.6397171</v>
      </c>
      <c r="H66" s="461">
        <f t="shared" si="14"/>
        <v>4398954591.3758354</v>
      </c>
      <c r="I66" s="461">
        <f t="shared" si="14"/>
        <v>4413333511.1661625</v>
      </c>
      <c r="J66" s="461">
        <f t="shared" si="14"/>
        <v>4514023037.3699017</v>
      </c>
      <c r="K66" s="461">
        <f t="shared" si="14"/>
        <v>4608243159.54634</v>
      </c>
      <c r="L66" s="461">
        <f t="shared" si="14"/>
        <v>4669888737.768878</v>
      </c>
      <c r="M66" s="461">
        <f t="shared" si="14"/>
        <v>5027345115.8449755</v>
      </c>
      <c r="N66" s="461">
        <f t="shared" si="14"/>
        <v>5395525185.2633572</v>
      </c>
      <c r="O66" s="461">
        <f t="shared" si="14"/>
        <v>5774750656.7642899</v>
      </c>
      <c r="P66" s="461">
        <f t="shared" si="14"/>
        <v>6165352892.4102535</v>
      </c>
      <c r="Q66" s="461">
        <f t="shared" si="14"/>
        <v>6567673195.1255922</v>
      </c>
      <c r="R66" s="461">
        <f t="shared" si="14"/>
        <v>6982063106.9223938</v>
      </c>
      <c r="S66" s="461">
        <f t="shared" si="14"/>
        <v>7408884716.0731001</v>
      </c>
      <c r="T66" s="461">
        <f t="shared" si="14"/>
        <v>7756913606.0809708</v>
      </c>
      <c r="U66" s="461">
        <f t="shared" si="14"/>
        <v>7965469004.7826691</v>
      </c>
      <c r="V66" s="461">
        <f t="shared" si="14"/>
        <v>7882284296.780962</v>
      </c>
      <c r="W66" s="461">
        <f t="shared" si="14"/>
        <v>6897117899.5007725</v>
      </c>
      <c r="X66" s="461">
        <f>SUM(D66:W66)</f>
        <v>110732207034.3719</v>
      </c>
    </row>
    <row r="67" spans="2:24" ht="12.75" customHeight="1" x14ac:dyDescent="0.2"/>
    <row r="69" spans="2:24" ht="12" customHeight="1" x14ac:dyDescent="0.25">
      <c r="D69" s="475"/>
      <c r="E69" s="475"/>
      <c r="F69" s="475"/>
      <c r="G69" s="475"/>
      <c r="H69" s="475"/>
      <c r="I69" s="475"/>
      <c r="J69" s="475"/>
      <c r="K69" s="475"/>
      <c r="L69" s="475"/>
      <c r="M69" s="475"/>
      <c r="N69" s="475"/>
      <c r="O69" s="475"/>
      <c r="P69" s="475"/>
      <c r="Q69" s="475"/>
      <c r="R69" s="475"/>
      <c r="S69" s="475"/>
      <c r="T69" s="475"/>
      <c r="U69" s="475"/>
      <c r="V69" s="475"/>
      <c r="W69" s="475"/>
      <c r="X69" s="476"/>
    </row>
    <row r="70" spans="2:24" ht="12" customHeight="1" x14ac:dyDescent="0.25">
      <c r="D70" s="475"/>
      <c r="E70" s="475"/>
      <c r="F70" s="475"/>
      <c r="G70" s="475"/>
      <c r="H70" s="475"/>
      <c r="I70" s="475"/>
      <c r="J70" s="475"/>
      <c r="K70" s="475"/>
      <c r="L70" s="475"/>
      <c r="M70" s="475"/>
      <c r="N70" s="475"/>
      <c r="O70" s="475"/>
      <c r="P70" s="475"/>
      <c r="Q70" s="475"/>
      <c r="R70" s="475"/>
      <c r="S70" s="475"/>
      <c r="T70" s="475"/>
      <c r="U70" s="475"/>
      <c r="V70" s="475"/>
      <c r="W70" s="475"/>
      <c r="X70" s="476"/>
    </row>
    <row r="71" spans="2:24" ht="12" customHeight="1" x14ac:dyDescent="0.25">
      <c r="D71" s="475"/>
      <c r="E71" s="475"/>
      <c r="F71" s="475"/>
      <c r="G71" s="475"/>
      <c r="H71" s="475"/>
      <c r="I71" s="475"/>
      <c r="J71" s="475"/>
      <c r="K71" s="475"/>
      <c r="L71" s="475"/>
      <c r="M71" s="475"/>
      <c r="N71" s="475"/>
      <c r="O71" s="475"/>
      <c r="P71" s="475"/>
      <c r="Q71" s="475"/>
      <c r="R71" s="475"/>
      <c r="S71" s="475"/>
      <c r="T71" s="475"/>
      <c r="U71" s="475"/>
      <c r="V71" s="475"/>
      <c r="W71" s="475"/>
      <c r="X71" s="476"/>
    </row>
    <row r="73" spans="2:24" ht="13.5" customHeight="1" x14ac:dyDescent="0.25">
      <c r="I73" s="477"/>
    </row>
  </sheetData>
  <mergeCells count="11">
    <mergeCell ref="X2:X4"/>
    <mergeCell ref="B9:C9"/>
    <mergeCell ref="B8:C8"/>
    <mergeCell ref="B4:C4"/>
    <mergeCell ref="B12:C12"/>
    <mergeCell ref="B6:C6"/>
    <mergeCell ref="B2:C2"/>
    <mergeCell ref="B7:C7"/>
    <mergeCell ref="B11:C11"/>
    <mergeCell ref="B3:C3"/>
    <mergeCell ref="B10:C10"/>
  </mergeCell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CONTROL</vt:lpstr>
      <vt:lpstr>FLUJO</vt:lpstr>
      <vt:lpstr>CAPEX</vt:lpstr>
      <vt:lpstr>AMORTIZACIONES</vt:lpstr>
      <vt:lpstr>INPUTS</vt:lpstr>
      <vt:lpstr>OPEX</vt:lpstr>
      <vt:lpstr>PRESTAMO </vt:lpstr>
      <vt:lpstr>HIPOTESIS</vt:lpstr>
      <vt:lpstr>IMPUESTOS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German Fuentes</dc:creator>
  <cp:lastModifiedBy>German Ariel Fuentes</cp:lastModifiedBy>
  <cp:revision>0</cp:revision>
  <dcterms:created xsi:type="dcterms:W3CDTF">2024-08-30T18:38:47Z</dcterms:created>
  <dcterms:modified xsi:type="dcterms:W3CDTF">2026-10-18T00:41:40Z</dcterms:modified>
  <dc:language>en-US</dc:language>
</cp:coreProperties>
</file>